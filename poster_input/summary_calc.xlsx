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a\Documents\ProjectFiles\poster_input\"/>
    </mc:Choice>
  </mc:AlternateContent>
  <xr:revisionPtr revIDLastSave="0" documentId="8_{5FD349F9-25EB-4A4F-A2D7-EB610575D4FA}" xr6:coauthVersionLast="47" xr6:coauthVersionMax="47" xr10:uidLastSave="{00000000-0000-0000-0000-000000000000}"/>
  <bookViews>
    <workbookView xWindow="16354" yWindow="-103" windowWidth="33120" windowHeight="18000" activeTab="1" xr2:uid="{DC82FC86-FC5F-4297-ABEA-B590E276DF67}"/>
  </bookViews>
  <sheets>
    <sheet name="Tabelle1" sheetId="2" r:id="rId1"/>
    <sheet name="summary_calc" sheetId="1" r:id="rId2"/>
  </sheets>
  <definedNames>
    <definedName name="_xlnm._FilterDatabase" localSheetId="1" hidden="1">summary_calc!$A$1:$P$286</definedName>
  </definedNames>
  <calcPr calcId="0"/>
  <pivotCaches>
    <pivotCache cacheId="2" r:id="rId3"/>
  </pivotCaches>
</workbook>
</file>

<file path=xl/calcChain.xml><?xml version="1.0" encoding="utf-8"?>
<calcChain xmlns="http://schemas.openxmlformats.org/spreadsheetml/2006/main">
  <c r="R10" i="1" l="1"/>
  <c r="R9" i="1"/>
  <c r="V6" i="1"/>
  <c r="U6" i="1"/>
  <c r="V3" i="1"/>
  <c r="U3" i="1"/>
  <c r="T6" i="1"/>
  <c r="T3" i="1"/>
  <c r="S6" i="1"/>
  <c r="S3" i="1"/>
  <c r="R3" i="1"/>
  <c r="R6" i="1"/>
  <c r="V2" i="1"/>
  <c r="V5" i="1"/>
  <c r="U5" i="1"/>
  <c r="U2" i="1"/>
  <c r="T5" i="1"/>
  <c r="T2" i="1"/>
  <c r="S5" i="1"/>
  <c r="S2" i="1"/>
  <c r="R5" i="1"/>
  <c r="R2" i="1"/>
  <c r="O3" i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O92" i="1"/>
  <c r="P92" i="1"/>
  <c r="O93" i="1"/>
  <c r="P93" i="1"/>
  <c r="O94" i="1"/>
  <c r="P94" i="1"/>
  <c r="O95" i="1"/>
  <c r="P95" i="1"/>
  <c r="O96" i="1"/>
  <c r="P96" i="1"/>
  <c r="O97" i="1"/>
  <c r="P97" i="1"/>
  <c r="O98" i="1"/>
  <c r="P98" i="1"/>
  <c r="O99" i="1"/>
  <c r="P99" i="1"/>
  <c r="O100" i="1"/>
  <c r="P100" i="1"/>
  <c r="O101" i="1"/>
  <c r="P101" i="1"/>
  <c r="O102" i="1"/>
  <c r="P102" i="1"/>
  <c r="O103" i="1"/>
  <c r="P103" i="1"/>
  <c r="O104" i="1"/>
  <c r="P104" i="1"/>
  <c r="O105" i="1"/>
  <c r="P105" i="1"/>
  <c r="O106" i="1"/>
  <c r="P106" i="1"/>
  <c r="O107" i="1"/>
  <c r="P107" i="1"/>
  <c r="O108" i="1"/>
  <c r="P108" i="1"/>
  <c r="O109" i="1"/>
  <c r="P109" i="1"/>
  <c r="O110" i="1"/>
  <c r="P110" i="1"/>
  <c r="O111" i="1"/>
  <c r="P111" i="1"/>
  <c r="O112" i="1"/>
  <c r="P112" i="1"/>
  <c r="O113" i="1"/>
  <c r="P113" i="1"/>
  <c r="O114" i="1"/>
  <c r="P114" i="1"/>
  <c r="O115" i="1"/>
  <c r="P115" i="1"/>
  <c r="O116" i="1"/>
  <c r="P116" i="1"/>
  <c r="O117" i="1"/>
  <c r="P117" i="1"/>
  <c r="O118" i="1"/>
  <c r="P118" i="1"/>
  <c r="O119" i="1"/>
  <c r="P119" i="1"/>
  <c r="O120" i="1"/>
  <c r="P120" i="1"/>
  <c r="O121" i="1"/>
  <c r="P121" i="1"/>
  <c r="O122" i="1"/>
  <c r="P122" i="1"/>
  <c r="O123" i="1"/>
  <c r="P123" i="1"/>
  <c r="O124" i="1"/>
  <c r="P124" i="1"/>
  <c r="O125" i="1"/>
  <c r="P125" i="1"/>
  <c r="O126" i="1"/>
  <c r="P126" i="1"/>
  <c r="O127" i="1"/>
  <c r="P127" i="1"/>
  <c r="O128" i="1"/>
  <c r="P128" i="1"/>
  <c r="O129" i="1"/>
  <c r="P129" i="1"/>
  <c r="O130" i="1"/>
  <c r="P130" i="1"/>
  <c r="O131" i="1"/>
  <c r="P131" i="1"/>
  <c r="O132" i="1"/>
  <c r="P132" i="1"/>
  <c r="O133" i="1"/>
  <c r="P133" i="1"/>
  <c r="O134" i="1"/>
  <c r="P134" i="1"/>
  <c r="O135" i="1"/>
  <c r="P135" i="1"/>
  <c r="O136" i="1"/>
  <c r="P136" i="1"/>
  <c r="O137" i="1"/>
  <c r="P137" i="1"/>
  <c r="O138" i="1"/>
  <c r="P138" i="1"/>
  <c r="O139" i="1"/>
  <c r="P139" i="1"/>
  <c r="O140" i="1"/>
  <c r="P140" i="1"/>
  <c r="O141" i="1"/>
  <c r="P141" i="1"/>
  <c r="O142" i="1"/>
  <c r="P142" i="1"/>
  <c r="O143" i="1"/>
  <c r="P143" i="1"/>
  <c r="O144" i="1"/>
  <c r="P144" i="1"/>
  <c r="O145" i="1"/>
  <c r="P145" i="1"/>
  <c r="O146" i="1"/>
  <c r="P146" i="1"/>
  <c r="O147" i="1"/>
  <c r="P147" i="1"/>
  <c r="O148" i="1"/>
  <c r="P148" i="1"/>
  <c r="O149" i="1"/>
  <c r="P149" i="1"/>
  <c r="O150" i="1"/>
  <c r="P150" i="1"/>
  <c r="O151" i="1"/>
  <c r="P151" i="1"/>
  <c r="O152" i="1"/>
  <c r="P152" i="1"/>
  <c r="O153" i="1"/>
  <c r="P153" i="1"/>
  <c r="O154" i="1"/>
  <c r="P154" i="1"/>
  <c r="O155" i="1"/>
  <c r="P155" i="1"/>
  <c r="O156" i="1"/>
  <c r="P156" i="1"/>
  <c r="O157" i="1"/>
  <c r="P157" i="1"/>
  <c r="O158" i="1"/>
  <c r="P158" i="1"/>
  <c r="O159" i="1"/>
  <c r="P159" i="1"/>
  <c r="O160" i="1"/>
  <c r="P160" i="1"/>
  <c r="O161" i="1"/>
  <c r="P161" i="1"/>
  <c r="O162" i="1"/>
  <c r="P162" i="1"/>
  <c r="O163" i="1"/>
  <c r="P163" i="1"/>
  <c r="O164" i="1"/>
  <c r="P164" i="1"/>
  <c r="O165" i="1"/>
  <c r="P165" i="1"/>
  <c r="O166" i="1"/>
  <c r="P166" i="1"/>
  <c r="O167" i="1"/>
  <c r="P167" i="1"/>
  <c r="O168" i="1"/>
  <c r="P168" i="1"/>
  <c r="O169" i="1"/>
  <c r="P169" i="1"/>
  <c r="O170" i="1"/>
  <c r="P170" i="1"/>
  <c r="O171" i="1"/>
  <c r="P171" i="1"/>
  <c r="O172" i="1"/>
  <c r="P172" i="1"/>
  <c r="O173" i="1"/>
  <c r="P173" i="1"/>
  <c r="O174" i="1"/>
  <c r="P174" i="1"/>
  <c r="O175" i="1"/>
  <c r="P175" i="1"/>
  <c r="O176" i="1"/>
  <c r="P176" i="1"/>
  <c r="O177" i="1"/>
  <c r="P177" i="1"/>
  <c r="O178" i="1"/>
  <c r="P178" i="1"/>
  <c r="O179" i="1"/>
  <c r="P179" i="1"/>
  <c r="O180" i="1"/>
  <c r="P180" i="1"/>
  <c r="O181" i="1"/>
  <c r="P181" i="1"/>
  <c r="O182" i="1"/>
  <c r="P182" i="1"/>
  <c r="O183" i="1"/>
  <c r="P183" i="1"/>
  <c r="O184" i="1"/>
  <c r="P184" i="1"/>
  <c r="O185" i="1"/>
  <c r="P185" i="1"/>
  <c r="O186" i="1"/>
  <c r="P186" i="1"/>
  <c r="O187" i="1"/>
  <c r="P187" i="1"/>
  <c r="O188" i="1"/>
  <c r="P188" i="1"/>
  <c r="O189" i="1"/>
  <c r="P189" i="1"/>
  <c r="O190" i="1"/>
  <c r="P190" i="1"/>
  <c r="O191" i="1"/>
  <c r="P191" i="1"/>
  <c r="O192" i="1"/>
  <c r="P192" i="1"/>
  <c r="O193" i="1"/>
  <c r="P193" i="1"/>
  <c r="O194" i="1"/>
  <c r="P194" i="1"/>
  <c r="O195" i="1"/>
  <c r="P195" i="1"/>
  <c r="O196" i="1"/>
  <c r="P196" i="1"/>
  <c r="O197" i="1"/>
  <c r="P197" i="1"/>
  <c r="O198" i="1"/>
  <c r="P198" i="1"/>
  <c r="O199" i="1"/>
  <c r="P199" i="1"/>
  <c r="O200" i="1"/>
  <c r="P200" i="1"/>
  <c r="O201" i="1"/>
  <c r="P201" i="1"/>
  <c r="O202" i="1"/>
  <c r="P202" i="1"/>
  <c r="O203" i="1"/>
  <c r="P203" i="1"/>
  <c r="O204" i="1"/>
  <c r="P204" i="1"/>
  <c r="O205" i="1"/>
  <c r="P205" i="1"/>
  <c r="O206" i="1"/>
  <c r="P206" i="1"/>
  <c r="O207" i="1"/>
  <c r="P207" i="1"/>
  <c r="O208" i="1"/>
  <c r="P208" i="1"/>
  <c r="O209" i="1"/>
  <c r="P209" i="1"/>
  <c r="O210" i="1"/>
  <c r="P210" i="1"/>
  <c r="O211" i="1"/>
  <c r="P211" i="1"/>
  <c r="O212" i="1"/>
  <c r="P212" i="1"/>
  <c r="O213" i="1"/>
  <c r="P213" i="1"/>
  <c r="O214" i="1"/>
  <c r="P214" i="1"/>
  <c r="O215" i="1"/>
  <c r="P215" i="1"/>
  <c r="O216" i="1"/>
  <c r="P216" i="1"/>
  <c r="O217" i="1"/>
  <c r="P217" i="1"/>
  <c r="O218" i="1"/>
  <c r="P218" i="1"/>
  <c r="O219" i="1"/>
  <c r="P219" i="1"/>
  <c r="O220" i="1"/>
  <c r="P220" i="1"/>
  <c r="O221" i="1"/>
  <c r="P221" i="1"/>
  <c r="O222" i="1"/>
  <c r="P222" i="1"/>
  <c r="O223" i="1"/>
  <c r="P223" i="1"/>
  <c r="O224" i="1"/>
  <c r="P224" i="1"/>
  <c r="O225" i="1"/>
  <c r="P225" i="1"/>
  <c r="O226" i="1"/>
  <c r="P226" i="1"/>
  <c r="O227" i="1"/>
  <c r="P227" i="1"/>
  <c r="O228" i="1"/>
  <c r="P228" i="1"/>
  <c r="O229" i="1"/>
  <c r="P229" i="1"/>
  <c r="O230" i="1"/>
  <c r="P230" i="1"/>
  <c r="O231" i="1"/>
  <c r="P231" i="1"/>
  <c r="O232" i="1"/>
  <c r="P232" i="1"/>
  <c r="O233" i="1"/>
  <c r="P233" i="1"/>
  <c r="O234" i="1"/>
  <c r="P234" i="1"/>
  <c r="O235" i="1"/>
  <c r="P235" i="1"/>
  <c r="O236" i="1"/>
  <c r="P236" i="1"/>
  <c r="O237" i="1"/>
  <c r="P237" i="1"/>
  <c r="O238" i="1"/>
  <c r="P238" i="1"/>
  <c r="O239" i="1"/>
  <c r="P239" i="1"/>
  <c r="O240" i="1"/>
  <c r="P240" i="1"/>
  <c r="O241" i="1"/>
  <c r="P241" i="1"/>
  <c r="O242" i="1"/>
  <c r="P242" i="1"/>
  <c r="O243" i="1"/>
  <c r="P243" i="1"/>
  <c r="O244" i="1"/>
  <c r="P244" i="1"/>
  <c r="O245" i="1"/>
  <c r="P245" i="1"/>
  <c r="O246" i="1"/>
  <c r="P246" i="1"/>
  <c r="O247" i="1"/>
  <c r="P247" i="1"/>
  <c r="O248" i="1"/>
  <c r="P248" i="1"/>
  <c r="O249" i="1"/>
  <c r="P249" i="1"/>
  <c r="O250" i="1"/>
  <c r="P250" i="1"/>
  <c r="O251" i="1"/>
  <c r="P251" i="1"/>
  <c r="O252" i="1"/>
  <c r="P252" i="1"/>
  <c r="O253" i="1"/>
  <c r="P253" i="1"/>
  <c r="O254" i="1"/>
  <c r="P254" i="1"/>
  <c r="O255" i="1"/>
  <c r="P255" i="1"/>
  <c r="O256" i="1"/>
  <c r="P256" i="1"/>
  <c r="O257" i="1"/>
  <c r="P257" i="1"/>
  <c r="O258" i="1"/>
  <c r="P258" i="1"/>
  <c r="O259" i="1"/>
  <c r="P259" i="1"/>
  <c r="O260" i="1"/>
  <c r="P260" i="1"/>
  <c r="O261" i="1"/>
  <c r="P261" i="1"/>
  <c r="O262" i="1"/>
  <c r="P262" i="1"/>
  <c r="O263" i="1"/>
  <c r="P263" i="1"/>
  <c r="O264" i="1"/>
  <c r="P264" i="1"/>
  <c r="O265" i="1"/>
  <c r="P265" i="1"/>
  <c r="O266" i="1"/>
  <c r="P266" i="1"/>
  <c r="O267" i="1"/>
  <c r="P267" i="1"/>
  <c r="O268" i="1"/>
  <c r="P268" i="1"/>
  <c r="O269" i="1"/>
  <c r="P269" i="1"/>
  <c r="O270" i="1"/>
  <c r="P270" i="1"/>
  <c r="O271" i="1"/>
  <c r="P271" i="1"/>
  <c r="O272" i="1"/>
  <c r="P272" i="1"/>
  <c r="O273" i="1"/>
  <c r="P273" i="1"/>
  <c r="O274" i="1"/>
  <c r="P274" i="1"/>
  <c r="O275" i="1"/>
  <c r="P275" i="1"/>
  <c r="O276" i="1"/>
  <c r="P276" i="1"/>
  <c r="O277" i="1"/>
  <c r="P277" i="1"/>
  <c r="O278" i="1"/>
  <c r="P278" i="1"/>
  <c r="O279" i="1"/>
  <c r="P279" i="1"/>
  <c r="O280" i="1"/>
  <c r="P280" i="1"/>
  <c r="O281" i="1"/>
  <c r="P281" i="1"/>
  <c r="O282" i="1"/>
  <c r="P282" i="1"/>
  <c r="O283" i="1"/>
  <c r="P283" i="1"/>
  <c r="O284" i="1"/>
  <c r="P284" i="1"/>
  <c r="O285" i="1"/>
  <c r="P285" i="1"/>
  <c r="O286" i="1"/>
  <c r="P286" i="1"/>
  <c r="P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59" i="1"/>
  <c r="H260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37" i="1"/>
  <c r="H33" i="1"/>
  <c r="H30" i="1"/>
  <c r="H23" i="1"/>
  <c r="H20" i="1"/>
  <c r="H12" i="1"/>
  <c r="H9" i="1"/>
  <c r="H111" i="1"/>
  <c r="H110" i="1"/>
  <c r="H109" i="1"/>
  <c r="H108" i="1"/>
  <c r="H107" i="1"/>
  <c r="H106" i="1"/>
  <c r="H105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6" i="1"/>
  <c r="H35" i="1"/>
  <c r="H34" i="1"/>
  <c r="H32" i="1"/>
  <c r="H31" i="1"/>
  <c r="H29" i="1"/>
  <c r="H28" i="1"/>
  <c r="H27" i="1"/>
  <c r="H26" i="1"/>
  <c r="H25" i="1"/>
  <c r="H24" i="1"/>
  <c r="H22" i="1"/>
  <c r="H21" i="1"/>
  <c r="H19" i="1"/>
  <c r="H18" i="1"/>
  <c r="H17" i="1"/>
  <c r="H16" i="1"/>
  <c r="H15" i="1"/>
  <c r="H14" i="1"/>
  <c r="H13" i="1"/>
  <c r="H11" i="1"/>
  <c r="H10" i="1"/>
  <c r="H8" i="1"/>
  <c r="H7" i="1"/>
  <c r="H5" i="1"/>
  <c r="H4" i="1"/>
  <c r="H3" i="1"/>
  <c r="H2" i="1"/>
  <c r="H104" i="1"/>
  <c r="H6" i="1"/>
  <c r="G6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59" i="1"/>
  <c r="G260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37" i="1"/>
  <c r="G33" i="1"/>
  <c r="G30" i="1"/>
  <c r="G23" i="1"/>
  <c r="G20" i="1"/>
  <c r="G12" i="1"/>
  <c r="G9" i="1"/>
  <c r="G111" i="1"/>
  <c r="G110" i="1"/>
  <c r="G109" i="1"/>
  <c r="G108" i="1"/>
  <c r="G107" i="1"/>
  <c r="G106" i="1"/>
  <c r="G105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6" i="1"/>
  <c r="G35" i="1"/>
  <c r="G34" i="1"/>
  <c r="G32" i="1"/>
  <c r="G31" i="1"/>
  <c r="G29" i="1"/>
  <c r="G28" i="1"/>
  <c r="G27" i="1"/>
  <c r="G26" i="1"/>
  <c r="G25" i="1"/>
  <c r="G24" i="1"/>
  <c r="G22" i="1"/>
  <c r="G21" i="1"/>
  <c r="G19" i="1"/>
  <c r="G18" i="1"/>
  <c r="G17" i="1"/>
  <c r="G16" i="1"/>
  <c r="G15" i="1"/>
  <c r="G14" i="1"/>
  <c r="G13" i="1"/>
  <c r="G11" i="1"/>
  <c r="G10" i="1"/>
  <c r="G8" i="1"/>
  <c r="G7" i="1"/>
  <c r="G5" i="1"/>
  <c r="G4" i="1"/>
  <c r="G3" i="1"/>
  <c r="G2" i="1"/>
  <c r="G104" i="1"/>
  <c r="F4" i="2"/>
  <c r="C10" i="2"/>
  <c r="C9" i="2"/>
</calcChain>
</file>

<file path=xl/sharedStrings.xml><?xml version="1.0" encoding="utf-8"?>
<sst xmlns="http://schemas.openxmlformats.org/spreadsheetml/2006/main" count="377" uniqueCount="92">
  <si>
    <t>country_code</t>
  </si>
  <si>
    <t>bucket</t>
  </si>
  <si>
    <t>tiktok_male</t>
  </si>
  <si>
    <t>tiktok_female</t>
  </si>
  <si>
    <t>pop_male</t>
  </si>
  <si>
    <t>pop_female</t>
  </si>
  <si>
    <t>pen_male</t>
  </si>
  <si>
    <t>pen_female</t>
  </si>
  <si>
    <t>gap_abs</t>
  </si>
  <si>
    <t>gap_pct</t>
  </si>
  <si>
    <t>tt_fm</t>
  </si>
  <si>
    <t>pop_fm</t>
  </si>
  <si>
    <t>relative_gap</t>
  </si>
  <si>
    <t>ARE</t>
  </si>
  <si>
    <t>55plus</t>
  </si>
  <si>
    <t>ARG</t>
  </si>
  <si>
    <t>AUT</t>
  </si>
  <si>
    <t>AZE</t>
  </si>
  <si>
    <t>BEL</t>
  </si>
  <si>
    <t>BGD</t>
  </si>
  <si>
    <t>BHR</t>
  </si>
  <si>
    <t>BLR</t>
  </si>
  <si>
    <t>BOL</t>
  </si>
  <si>
    <t>BRA</t>
  </si>
  <si>
    <t>CAN</t>
  </si>
  <si>
    <t>CHE</t>
  </si>
  <si>
    <t>CRI</t>
  </si>
  <si>
    <t>CZE</t>
  </si>
  <si>
    <t>DEU</t>
  </si>
  <si>
    <t>DNK</t>
  </si>
  <si>
    <t>DOM</t>
  </si>
  <si>
    <t>DZA</t>
  </si>
  <si>
    <t>EGY</t>
  </si>
  <si>
    <t>ESP</t>
  </si>
  <si>
    <t>FIN</t>
  </si>
  <si>
    <t>FRA</t>
  </si>
  <si>
    <t>GBR</t>
  </si>
  <si>
    <t>GRC</t>
  </si>
  <si>
    <t>GTM</t>
  </si>
  <si>
    <t>HUN</t>
  </si>
  <si>
    <t>IRL</t>
  </si>
  <si>
    <t>IRQ</t>
  </si>
  <si>
    <t>ITA</t>
  </si>
  <si>
    <t>JPN</t>
  </si>
  <si>
    <t>KAZ</t>
  </si>
  <si>
    <t>KEN</t>
  </si>
  <si>
    <t>KOR</t>
  </si>
  <si>
    <t>KWT</t>
  </si>
  <si>
    <t>LBN</t>
  </si>
  <si>
    <t>LKA</t>
  </si>
  <si>
    <t>MAR</t>
  </si>
  <si>
    <t>MEX</t>
  </si>
  <si>
    <t>NGA</t>
  </si>
  <si>
    <t>NLD</t>
  </si>
  <si>
    <t>NOR</t>
  </si>
  <si>
    <t>OMN</t>
  </si>
  <si>
    <t>PAK</t>
  </si>
  <si>
    <t>PAN</t>
  </si>
  <si>
    <t>POL</t>
  </si>
  <si>
    <t>PRI</t>
  </si>
  <si>
    <t>PRT</t>
  </si>
  <si>
    <t>PRY</t>
  </si>
  <si>
    <t>QAT</t>
  </si>
  <si>
    <t>ROU</t>
  </si>
  <si>
    <t>SAU</t>
  </si>
  <si>
    <t>SWE</t>
  </si>
  <si>
    <t>TUR</t>
  </si>
  <si>
    <t>UKR</t>
  </si>
  <si>
    <t>URY</t>
  </si>
  <si>
    <t>USA</t>
  </si>
  <si>
    <t>ZAF</t>
  </si>
  <si>
    <t>01,07,1986</t>
  </si>
  <si>
    <t>01,02,2025</t>
  </si>
  <si>
    <t>01,01,2028</t>
  </si>
  <si>
    <t>01,01,1953</t>
  </si>
  <si>
    <t>01,01,1935</t>
  </si>
  <si>
    <t>01,01,2025</t>
  </si>
  <si>
    <t>01,06,2025</t>
  </si>
  <si>
    <t>01,08,2025</t>
  </si>
  <si>
    <t>delta</t>
  </si>
  <si>
    <t>delta male</t>
  </si>
  <si>
    <t>delta female</t>
  </si>
  <si>
    <t>Summe von tiktok_male</t>
  </si>
  <si>
    <t>Summe von tiktok_female</t>
  </si>
  <si>
    <t>Summe von pop_male</t>
  </si>
  <si>
    <t>Summe von pop_female</t>
  </si>
  <si>
    <t>Mittelwert von pop_female</t>
  </si>
  <si>
    <t>Mittelwert von pop_male</t>
  </si>
  <si>
    <t>Mittelwert von tiktok_female</t>
  </si>
  <si>
    <t>Mittelwert von tiktok_male</t>
  </si>
  <si>
    <t>Mittelwert von pen_male</t>
  </si>
  <si>
    <t>Mittelwert von pen_female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</si>
</sst>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.0000_-;\-* #,##0.00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3" fontId="0" fillId="0" borderId="0" xfId="0" applyNumberFormat="1"/>
    <xf numFmtId="17" fontId="0" fillId="0" borderId="0" xfId="0" applyNumberFormat="1"/>
    <xf numFmtId="16" fontId="0" fillId="0" borderId="0" xfId="0" applyNumberFormat="1"/>
    <xf numFmtId="0" fontId="0" fillId="0" borderId="0" xfId="0" applyNumberFormat="1"/>
    <xf numFmtId="10" fontId="0" fillId="0" borderId="0" xfId="2" applyNumberFormat="1" applyFont="1"/>
    <xf numFmtId="43" fontId="0" fillId="0" borderId="0" xfId="1" applyFont="1"/>
    <xf numFmtId="167" fontId="0" fillId="0" borderId="0" xfId="1" applyNumberFormat="1" applyFont="1"/>
    <xf numFmtId="10" fontId="0" fillId="0" borderId="0" xfId="0" applyNumberFormat="1"/>
  </cellXfs>
  <cellStyles count="44">
    <cellStyle name="20 % - Akzent1" xfId="21" builtinId="30" customBuiltin="1"/>
    <cellStyle name="20 % - Akzent2" xfId="25" builtinId="34" customBuiltin="1"/>
    <cellStyle name="20 % - Akzent3" xfId="29" builtinId="38" customBuiltin="1"/>
    <cellStyle name="20 % - Akzent4" xfId="33" builtinId="42" customBuiltin="1"/>
    <cellStyle name="20 % - Akzent5" xfId="37" builtinId="46" customBuiltin="1"/>
    <cellStyle name="20 % - Akzent6" xfId="41" builtinId="50" customBuiltin="1"/>
    <cellStyle name="40 % - Akzent1" xfId="22" builtinId="31" customBuiltin="1"/>
    <cellStyle name="40 % - Akzent2" xfId="26" builtinId="35" customBuiltin="1"/>
    <cellStyle name="40 % - Akzent3" xfId="30" builtinId="39" customBuiltin="1"/>
    <cellStyle name="40 % - Akzent4" xfId="34" builtinId="43" customBuiltin="1"/>
    <cellStyle name="40 % - Akzent5" xfId="38" builtinId="47" customBuiltin="1"/>
    <cellStyle name="40 % - Akzent6" xfId="42" builtinId="51" customBuiltin="1"/>
    <cellStyle name="60 % - Akzent1" xfId="23" builtinId="32" customBuiltin="1"/>
    <cellStyle name="60 % - Akzent2" xfId="27" builtinId="36" customBuiltin="1"/>
    <cellStyle name="60 % - Akzent3" xfId="31" builtinId="40" customBuiltin="1"/>
    <cellStyle name="60 % - Akzent4" xfId="35" builtinId="44" customBuiltin="1"/>
    <cellStyle name="60 % - Akzent5" xfId="39" builtinId="48" customBuiltin="1"/>
    <cellStyle name="60 % - Akzent6" xfId="43" builtinId="52" customBuiltin="1"/>
    <cellStyle name="Akzent1" xfId="20" builtinId="29" customBuiltin="1"/>
    <cellStyle name="Akzent2" xfId="24" builtinId="33" customBuiltin="1"/>
    <cellStyle name="Akzent3" xfId="28" builtinId="37" customBuiltin="1"/>
    <cellStyle name="Akzent4" xfId="32" builtinId="41" customBuiltin="1"/>
    <cellStyle name="Akzent5" xfId="36" builtinId="45" customBuiltin="1"/>
    <cellStyle name="Akzent6" xfId="40" builtinId="49" customBuiltin="1"/>
    <cellStyle name="Ausgabe" xfId="12" builtinId="21" customBuiltin="1"/>
    <cellStyle name="Berechnung" xfId="13" builtinId="22" customBuiltin="1"/>
    <cellStyle name="Eingabe" xfId="11" builtinId="20" customBuiltin="1"/>
    <cellStyle name="Ergebnis" xfId="19" builtinId="25" customBuiltin="1"/>
    <cellStyle name="Erklärender Text" xfId="18" builtinId="53" customBuiltin="1"/>
    <cellStyle name="Gut" xfId="8" builtinId="26" customBuiltin="1"/>
    <cellStyle name="Komma" xfId="1" builtinId="3"/>
    <cellStyle name="Neutral" xfId="10" builtinId="28" customBuiltin="1"/>
    <cellStyle name="Notiz" xfId="17" builtinId="10" customBuiltin="1"/>
    <cellStyle name="Prozent" xfId="2" builtinId="5"/>
    <cellStyle name="Schlecht" xfId="9" builtinId="27" customBuiltin="1"/>
    <cellStyle name="Standard" xfId="0" builtinId="0"/>
    <cellStyle name="Überschrift" xfId="3" builtinId="15" customBuiltin="1"/>
    <cellStyle name="Überschrift 1" xfId="4" builtinId="16" customBuiltin="1"/>
    <cellStyle name="Überschrift 2" xfId="5" builtinId="17" customBuiltin="1"/>
    <cellStyle name="Überschrift 3" xfId="6" builtinId="18" customBuiltin="1"/>
    <cellStyle name="Überschrift 4" xfId="7" builtinId="19" customBuiltin="1"/>
    <cellStyle name="Verknüpfte Zelle" xfId="14" builtinId="24" customBuiltin="1"/>
    <cellStyle name="Warnender Text" xfId="16" builtinId="11" customBuiltin="1"/>
    <cellStyle name="Zelle überprüfen" xfId="15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ummary_calc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nah Schwed" refreshedDate="45835.79627013889" createdVersion="8" refreshedVersion="8" minRefreshableVersion="3" recordCount="287" xr:uid="{A83CF52D-C831-44A6-BC81-5503A9D07FBD}">
  <cacheSource type="worksheet">
    <worksheetSource ref="A1:P1048576" sheet="summary_calc" r:id="rId2"/>
  </cacheSource>
  <cacheFields count="16">
    <cacheField name="country_code" numFmtId="0">
      <sharedItems containsBlank="1"/>
    </cacheField>
    <cacheField name="bucket" numFmtId="0">
      <sharedItems containsBlank="1" containsMixedTypes="1" containsNumber="1" containsInteger="1" minValue="2024" maxValue="4554"/>
    </cacheField>
    <cacheField name="tiktok_male" numFmtId="0">
      <sharedItems containsString="0" containsBlank="1" containsNumber="1" containsInteger="1" minValue="29500" maxValue="50305500"/>
    </cacheField>
    <cacheField name="tiktok_female" numFmtId="0">
      <sharedItems containsString="0" containsBlank="1" containsNumber="1" containsInteger="1" minValue="29500" maxValue="34977000"/>
    </cacheField>
    <cacheField name="pop_male" numFmtId="0">
      <sharedItems containsString="0" containsBlank="1" containsNumber="1" containsInteger="1" minValue="66067" maxValue="23766429"/>
    </cacheField>
    <cacheField name="pop_female" numFmtId="0">
      <sharedItems containsString="0" containsBlank="1" containsNumber="1" containsInteger="1" minValue="36247" maxValue="22350890"/>
    </cacheField>
    <cacheField name="pen_male" numFmtId="10">
      <sharedItems containsString="0" containsBlank="1" containsNumber="1" minValue="9.4388512192000756E-2" maxValue="50.133491988985789"/>
    </cacheField>
    <cacheField name="pen_female" numFmtId="10">
      <sharedItems containsString="0" containsBlank="1" containsNumber="1" minValue="4.8917060538724293E-2" maxValue="6.3195698327347767"/>
    </cacheField>
    <cacheField name="gap_abs" numFmtId="0">
      <sharedItems containsString="0" containsBlank="1" containsNumber="1" minValue="-12894" maxValue="454713"/>
    </cacheField>
    <cacheField name="gap_pct" numFmtId="0">
      <sharedItems containsBlank="1" containsMixedTypes="1" containsNumber="1" minValue="-405363" maxValue="829835"/>
    </cacheField>
    <cacheField name="tt_fm" numFmtId="0">
      <sharedItems containsBlank="1" containsMixedTypes="1" containsNumber="1" minValue="9.0300000000000005E-2" maxValue="19056"/>
    </cacheField>
    <cacheField name="pop_fm" numFmtId="0">
      <sharedItems containsBlank="1" containsMixedTypes="1" containsNumber="1" minValue="0.30059999999999998" maxValue="12628"/>
    </cacheField>
    <cacheField name="relative_gap" numFmtId="0">
      <sharedItems containsBlank="1" containsMixedTypes="1" containsNumber="1" minValue="9.2999999999999999E-2" maxValue="23634"/>
    </cacheField>
    <cacheField name="delta" numFmtId="0">
      <sharedItems containsString="0" containsBlank="1" containsNumber="1" containsInteger="1" minValue="-20821079" maxValue="62942717"/>
    </cacheField>
    <cacheField name="delta male" numFmtId="0">
      <sharedItems containsString="0" containsBlank="1" containsNumber="1" containsInteger="1" minValue="-8845574" maxValue="49302069"/>
    </cacheField>
    <cacheField name="delta female" numFmtId="0">
      <sharedItems containsString="0" containsBlank="1" containsNumber="1" containsInteger="1" minValue="-11975505" maxValue="290231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s v="UKR"/>
    <n v="2024"/>
    <n v="50305500"/>
    <n v="4541000"/>
    <n v="1003431"/>
    <n v="974012"/>
    <n v="50.133491988985789"/>
    <n v="4.6621602197919536"/>
    <n v="454713"/>
    <n v="829835"/>
    <n v="9.0300000000000005E-2"/>
    <n v="0.97070000000000001"/>
    <n v="9.2999999999999999E-2"/>
    <n v="52869057"/>
    <n v="49302069"/>
    <n v="3566988"/>
  </r>
  <r>
    <s v="TUR"/>
    <n v="2024"/>
    <n v="36251500"/>
    <n v="12797500"/>
    <n v="3147425"/>
    <n v="3011567"/>
    <n v="11.51782806579982"/>
    <n v="4.2494488749544672"/>
    <n v="72684"/>
    <n v="460979"/>
    <n v="0.35299999999999998"/>
    <n v="0.95679999999999998"/>
    <n v="0.36890000000000001"/>
    <n v="42890008"/>
    <n v="33104075"/>
    <n v="9785933"/>
  </r>
  <r>
    <s v="MAR"/>
    <n v="2024"/>
    <n v="16346000"/>
    <n v="4269000"/>
    <n v="1510520"/>
    <n v="1438990"/>
    <n v="10.821438974657735"/>
    <n v="2.9666641185831728"/>
    <n v="78548"/>
    <n v="569678"/>
    <n v="0.26119999999999999"/>
    <n v="0.9526"/>
    <n v="0.2742"/>
    <n v="17665490"/>
    <n v="14835480"/>
    <n v="2830010"/>
  </r>
  <r>
    <s v="SAU"/>
    <n v="2024"/>
    <n v="15699000"/>
    <n v="6676500"/>
    <n v="1539841"/>
    <n v="1148715"/>
    <n v="10.195208466328667"/>
    <n v="5.8121466160013577"/>
    <n v="43831"/>
    <n v="273815"/>
    <n v="0.42530000000000001"/>
    <n v="0.746"/>
    <n v="0.57010000000000005"/>
    <n v="19686944"/>
    <n v="14159159"/>
    <n v="5527785"/>
  </r>
  <r>
    <s v="KWT"/>
    <n v="2024"/>
    <n v="1336000"/>
    <n v="525000"/>
    <n v="138302"/>
    <n v="119848"/>
    <n v="9.6600193778831827"/>
    <n v="4.380548695013684"/>
    <n v="52795"/>
    <n v="376015"/>
    <n v="0.39300000000000002"/>
    <n v="0.86660000000000004"/>
    <n v="0.45350000000000001"/>
    <n v="1602850"/>
    <n v="1197698"/>
    <n v="405152"/>
  </r>
  <r>
    <s v="QAT"/>
    <n v="2024"/>
    <n v="791500"/>
    <n v="318500"/>
    <n v="108097"/>
    <n v="50399"/>
    <n v="7.3221273485850675"/>
    <n v="6.3195698327347767"/>
    <n v="10026"/>
    <n v="73492"/>
    <n v="0.40239999999999998"/>
    <n v="0.4662"/>
    <n v="0.86309999999999998"/>
    <n v="951504"/>
    <n v="683403"/>
    <n v="268101"/>
  </r>
  <r>
    <s v="EGY"/>
    <n v="2024"/>
    <n v="35838500"/>
    <n v="11964000"/>
    <n v="5042469"/>
    <n v="4848741"/>
    <n v="7.107331745619061"/>
    <n v="2.4674446418152671"/>
    <n v="46399"/>
    <n v="484595"/>
    <n v="0.33379999999999999"/>
    <n v="0.96160000000000001"/>
    <n v="0.34710000000000002"/>
    <n v="37911290"/>
    <n v="30796031"/>
    <n v="7115259"/>
  </r>
  <r>
    <s v="ARE"/>
    <n v="2024"/>
    <n v="3746500"/>
    <n v="1542500"/>
    <n v="569461"/>
    <n v="349119"/>
    <n v="6.5790282389838817"/>
    <n v="4.4182642594645376"/>
    <n v="21608"/>
    <n v="196481"/>
    <n v="0.41170000000000001"/>
    <n v="0.61309999999999998"/>
    <n v="0.67149999999999999"/>
    <n v="4370420"/>
    <n v="3177039"/>
    <n v="1193381"/>
  </r>
  <r>
    <s v="JPN"/>
    <n v="2534"/>
    <n v="40114000"/>
    <n v="34977000"/>
    <n v="6194414"/>
    <n v="5953869"/>
    <n v="6.4758345180028325"/>
    <n v="5.8746673801523013"/>
    <n v="0.60119999999999996"/>
    <n v="48676"/>
    <n v="0.87190000000000001"/>
    <n v="0.96120000000000005"/>
    <n v="0.90710000000000002"/>
    <n v="62942717"/>
    <n v="33919586"/>
    <n v="29023131"/>
  </r>
  <r>
    <s v="ZAF"/>
    <n v="2024"/>
    <n v="15407000"/>
    <n v="9242500"/>
    <n v="2597837"/>
    <n v="2532950"/>
    <n v="5.9307031195567701"/>
    <n v="3.648907400461912"/>
    <n v="22818"/>
    <n v="238193"/>
    <n v="0.59989999999999999"/>
    <n v="0.97499999999999998"/>
    <n v="0.61529999999999996"/>
    <n v="19518713"/>
    <n v="12809163"/>
    <n v="6709550"/>
  </r>
  <r>
    <s v="SAU"/>
    <n v="2534"/>
    <n v="25113000"/>
    <n v="12798500"/>
    <n v="4814589"/>
    <n v="2617454"/>
    <n v="5.2160215544878286"/>
    <n v="4.8896752340251251"/>
    <n v="0.32629999999999998"/>
    <n v="32293"/>
    <n v="0.50960000000000005"/>
    <n v="0.54369999999999996"/>
    <n v="0.93730000000000002"/>
    <n v="30479457"/>
    <n v="20298411"/>
    <n v="10181046"/>
  </r>
  <r>
    <s v="JPN"/>
    <n v="3544"/>
    <n v="34534000"/>
    <n v="17530500"/>
    <n v="6981661"/>
    <n v="6787158"/>
    <n v="4.9463873997892476"/>
    <n v="2.5828925744766806"/>
    <n v="23635"/>
    <n v="313907"/>
    <n v="0.50760000000000005"/>
    <n v="0.97209999999999996"/>
    <n v="0.5222"/>
    <n v="38295681"/>
    <n v="27552339"/>
    <n v="10743342"/>
  </r>
  <r>
    <s v="JPN"/>
    <n v="2024"/>
    <n v="15352000"/>
    <n v="15056000"/>
    <n v="3136998"/>
    <n v="2986343"/>
    <n v="4.8938507452028981"/>
    <n v="5.0416177913923486"/>
    <n v="-0.14779999999999999"/>
    <n v="-14873"/>
    <n v="0.98070000000000002"/>
    <n v="0.95199999999999996"/>
    <n v="10301"/>
    <n v="24284659"/>
    <n v="12215002"/>
    <n v="12069657"/>
  </r>
  <r>
    <s v="UKR"/>
    <n v="2534"/>
    <n v="11770500"/>
    <n v="8443000"/>
    <n v="2425448"/>
    <n v="2370639"/>
    <n v="4.8529178939313482"/>
    <n v="3.5614870083551313"/>
    <n v="12914"/>
    <n v="153479"/>
    <n v="0.71730000000000005"/>
    <n v="0.97740000000000005"/>
    <n v="0.7339"/>
    <n v="15417413"/>
    <n v="9345052"/>
    <n v="6072361"/>
  </r>
  <r>
    <s v="BLR"/>
    <n v="2024"/>
    <n v="1031500"/>
    <n v="1103000"/>
    <n v="221269"/>
    <n v="209342"/>
    <n v="4.6617465618771723"/>
    <n v="5.2688901414909575"/>
    <n v="-0.60709999999999997"/>
    <n v="-61138"/>
    <n v="10693"/>
    <n v="0.94610000000000005"/>
    <n v="11302"/>
    <n v="1703889"/>
    <n v="810231"/>
    <n v="893658"/>
  </r>
  <r>
    <s v="KOR"/>
    <n v="3544"/>
    <n v="17239500"/>
    <n v="5934000"/>
    <n v="3708323"/>
    <n v="3409962"/>
    <n v="4.6488668867302012"/>
    <n v="1.7401953452853727"/>
    <n v="29087"/>
    <n v="455258"/>
    <n v="0.34420000000000001"/>
    <n v="0.91949999999999998"/>
    <n v="0.37430000000000002"/>
    <n v="16055215"/>
    <n v="13531177"/>
    <n v="2524038"/>
  </r>
  <r>
    <s v="ZAF"/>
    <n v="2534"/>
    <n v="24212000"/>
    <n v="17910500"/>
    <n v="5560225"/>
    <n v="5638288"/>
    <n v="4.3545000427140987"/>
    <n v="3.1765848073032097"/>
    <n v="11779"/>
    <n v="156407"/>
    <n v="0.73970000000000002"/>
    <n v="1014"/>
    <n v="0.72950000000000004"/>
    <n v="30923987"/>
    <n v="18651775"/>
    <n v="12272212"/>
  </r>
  <r>
    <s v="KOR"/>
    <n v="2024"/>
    <n v="5969000"/>
    <n v="5803000"/>
    <n v="1407244"/>
    <n v="1292288"/>
    <n v="4.2416240538243546"/>
    <n v="4.490485093106181"/>
    <n v="-0.24890000000000001"/>
    <n v="-2.85"/>
    <n v="0.97219999999999995"/>
    <n v="0.91830000000000001"/>
    <n v="10587"/>
    <n v="9072468"/>
    <n v="4561756"/>
    <n v="4510712"/>
  </r>
  <r>
    <s v="KOR"/>
    <n v="2534"/>
    <n v="15943500"/>
    <n v="10108000"/>
    <n v="3761187"/>
    <n v="3320203"/>
    <n v="4.2389543513789665"/>
    <n v="3.044392165177852"/>
    <n v="11946"/>
    <n v="164013"/>
    <n v="0.63400000000000001"/>
    <n v="0.88280000000000003"/>
    <n v="0.71819999999999995"/>
    <n v="18970110"/>
    <n v="12182313"/>
    <n v="6787797"/>
  </r>
  <r>
    <s v="KWT"/>
    <n v="2534"/>
    <n v="2540500"/>
    <n v="1108000"/>
    <n v="636324"/>
    <n v="333489"/>
    <n v="3.992462959121454"/>
    <n v="3.3224484165894528"/>
    <n v="0.67"/>
    <n v="91596"/>
    <n v="0.43609999999999999"/>
    <n v="0.52410000000000001"/>
    <n v="0.83209999999999995"/>
    <n v="2678687"/>
    <n v="1904176"/>
    <n v="774511"/>
  </r>
  <r>
    <s v="TUR"/>
    <n v="2534"/>
    <n v="24521500"/>
    <n v="12354000"/>
    <n v="6739944"/>
    <n v="6457108"/>
    <n v="3.6382349764330386"/>
    <n v="1.9132404166075587"/>
    <n v="1725"/>
    <n v="310727"/>
    <n v="0.50380000000000003"/>
    <n v="0.95799999999999996"/>
    <n v="0.52590000000000003"/>
    <n v="23678448"/>
    <n v="17781556"/>
    <n v="5896892"/>
  </r>
  <r>
    <s v="KAZ"/>
    <n v="2024"/>
    <n v="2322000"/>
    <n v="2461000"/>
    <n v="643748"/>
    <n v="618716"/>
    <n v="3.6070014974803803"/>
    <n v="3.9775923040619605"/>
    <n v="-0.37059999999999998"/>
    <n v="-48861"/>
    <n v="10599"/>
    <n v="0.96109999999999995"/>
    <n v="11028"/>
    <n v="3520536"/>
    <n v="1678252"/>
    <n v="1842284"/>
  </r>
  <r>
    <s v="ARE"/>
    <n v="2534"/>
    <n v="7856000"/>
    <n v="3084000"/>
    <n v="2180748"/>
    <n v="1010799"/>
    <n v="3.6024336603770815"/>
    <n v="3.0510516927697791"/>
    <n v="0.5514"/>
    <n v="82871"/>
    <n v="0.3926"/>
    <n v="0.46350000000000002"/>
    <n v="0.84699999999999998"/>
    <n v="7748453"/>
    <n v="5675252"/>
    <n v="2073201"/>
  </r>
  <r>
    <s v="MAR"/>
    <n v="2534"/>
    <n v="10427000"/>
    <n v="5947500"/>
    <n v="2944953"/>
    <n v="2812845"/>
    <n v="3.5406337554453331"/>
    <n v="2.114407299371277"/>
    <n v="14262"/>
    <n v="252204"/>
    <n v="0.57040000000000002"/>
    <n v="0.95509999999999995"/>
    <n v="0.59719999999999995"/>
    <n v="10616702"/>
    <n v="7482047"/>
    <n v="3134655"/>
  </r>
  <r>
    <s v="SAU"/>
    <n v="3544"/>
    <n v="15840500"/>
    <n v="7420500"/>
    <n v="4672624"/>
    <n v="2237675"/>
    <n v="3.3900651967716642"/>
    <n v="3.3161652161283475"/>
    <n v="7.3899999999999993E-2"/>
    <n v="1102"/>
    <n v="0.46850000000000003"/>
    <n v="0.47889999999999999"/>
    <n v="0.97829999999999995"/>
    <n v="16350701"/>
    <n v="11167876"/>
    <n v="5182825"/>
  </r>
  <r>
    <s v="UKR"/>
    <n v="3544"/>
    <n v="10971500"/>
    <n v="3270500"/>
    <n v="3302494"/>
    <n v="3248276"/>
    <n v="3.3221862023064994"/>
    <n v="1.0068417831489689"/>
    <n v="23153"/>
    <n v="534842"/>
    <n v="0.29809999999999998"/>
    <n v="0.98360000000000003"/>
    <n v="0.30309999999999998"/>
    <n v="7691230"/>
    <n v="7669006"/>
    <n v="22224"/>
  </r>
  <r>
    <s v="EGY"/>
    <n v="2534"/>
    <n v="30146500"/>
    <n v="18557000"/>
    <n v="9084764"/>
    <n v="8691107"/>
    <n v="3.3183580773259491"/>
    <n v="2.1351710432284401"/>
    <n v="11832"/>
    <n v="216958"/>
    <n v="0.61560000000000004"/>
    <n v="0.95669999999999999"/>
    <n v="0.64349999999999996"/>
    <n v="30927629"/>
    <n v="21061736"/>
    <n v="9865893"/>
  </r>
  <r>
    <s v="QAT"/>
    <n v="2534"/>
    <n v="1902500"/>
    <n v="619500"/>
    <n v="575137"/>
    <n v="173708"/>
    <n v="3.307907507254793"/>
    <n v="3.5663297027195062"/>
    <n v="-0.25840000000000002"/>
    <n v="-37593"/>
    <n v="0.3256"/>
    <n v="0.30199999999999999"/>
    <n v="10781"/>
    <n v="1773155"/>
    <n v="1327363"/>
    <n v="445792"/>
  </r>
  <r>
    <s v="IRQ"/>
    <n v="2024"/>
    <n v="6823000"/>
    <n v="5119000"/>
    <n v="2208780"/>
    <n v="2115100"/>
    <n v="3.0890355762004362"/>
    <n v="2.420216538225143"/>
    <n v="0.66879999999999995"/>
    <n v="121399"/>
    <n v="0.75029999999999997"/>
    <n v="0.95760000000000001"/>
    <n v="0.78349999999999997"/>
    <n v="7618120"/>
    <n v="4614220"/>
    <n v="3003900"/>
  </r>
  <r>
    <s v="LBN"/>
    <n v="2534"/>
    <n v="1145000"/>
    <n v="739500"/>
    <n v="381295"/>
    <n v="410512"/>
    <n v="3.0029242450071467"/>
    <n v="1.801408972210313"/>
    <n v="12015"/>
    <n v="25009"/>
    <n v="0.64590000000000003"/>
    <n v="10766"/>
    <n v="0.59989999999999999"/>
    <n v="1092693"/>
    <n v="763705"/>
    <n v="328988"/>
  </r>
  <r>
    <s v="BLR"/>
    <n v="2534"/>
    <n v="1561500"/>
    <n v="1083000"/>
    <n v="535411"/>
    <n v="509978"/>
    <n v="2.9164511001828504"/>
    <n v="2.1236210189459155"/>
    <n v="0.79279999999999995"/>
    <n v="157305"/>
    <n v="0.69359999999999999"/>
    <n v="0.95250000000000001"/>
    <n v="0.72819999999999996"/>
    <n v="1599111"/>
    <n v="1026089"/>
    <n v="573022"/>
  </r>
  <r>
    <s v="IRQ"/>
    <n v="2534"/>
    <n v="10574000"/>
    <n v="6460500"/>
    <n v="3761704"/>
    <n v="3654815"/>
    <n v="2.8109601393411072"/>
    <n v="1.7676681309450684"/>
    <n v="10433"/>
    <n v="227861"/>
    <n v="0.61099999999999999"/>
    <n v="0.97160000000000002"/>
    <n v="0.62890000000000001"/>
    <n v="9617981"/>
    <n v="6812296"/>
    <n v="2805685"/>
  </r>
  <r>
    <s v="KAZ"/>
    <n v="2534"/>
    <n v="3663500"/>
    <n v="2552500"/>
    <n v="1375828"/>
    <n v="1338288"/>
    <n v="2.6627601706027209"/>
    <n v="1.907287519577251"/>
    <n v="0.75549999999999995"/>
    <n v="16531"/>
    <n v="0.69669999999999999"/>
    <n v="0.97270000000000001"/>
    <n v="0.71630000000000005"/>
    <n v="3501884"/>
    <n v="2287672"/>
    <n v="1214212"/>
  </r>
  <r>
    <s v="LBN"/>
    <n v="2024"/>
    <n v="659500"/>
    <n v="538500"/>
    <n v="253410"/>
    <n v="227905"/>
    <n v="2.6025018744327375"/>
    <n v="2.3628266163533049"/>
    <n v="0.2397"/>
    <n v="4827"/>
    <n v="0.8165"/>
    <n v="0.89939999999999998"/>
    <n v="0.90780000000000005"/>
    <n v="716685"/>
    <n v="406090"/>
    <n v="310595"/>
  </r>
  <r>
    <s v="SAU"/>
    <s v="55plus"/>
    <n v="3093000"/>
    <n v="1844000"/>
    <n v="1246086"/>
    <n v="705958"/>
    <n v="2.4821721775222576"/>
    <n v="2.6120534082764131"/>
    <n v="-0.12989999999999999"/>
    <n v="-25496"/>
    <n v="0.59619999999999995"/>
    <n v="0.5665"/>
    <n v="10524"/>
    <n v="2984956"/>
    <n v="1846914"/>
    <n v="1138042"/>
  </r>
  <r>
    <s v="ARE"/>
    <n v="3544"/>
    <n v="4395000"/>
    <n v="1921500"/>
    <n v="1789489"/>
    <n v="855313"/>
    <n v="2.4560083912222987"/>
    <n v="2.2465460012884173"/>
    <n v="0.20949999999999999"/>
    <n v="44542"/>
    <n v="0.43719999999999998"/>
    <n v="0.47799999999999998"/>
    <n v="0.91459999999999997"/>
    <n v="3671698"/>
    <n v="2605511"/>
    <n v="1066187"/>
  </r>
  <r>
    <s v="MEX"/>
    <n v="2534"/>
    <n v="25376000"/>
    <n v="17710500"/>
    <n v="10370957"/>
    <n v="10649238"/>
    <n v="2.4468330164709005"/>
    <n v="1.6630767384483285"/>
    <n v="0.78380000000000005"/>
    <n v="190699"/>
    <n v="0.69789999999999996"/>
    <n v="10268"/>
    <n v="0.67969999999999997"/>
    <n v="22066305"/>
    <n v="15005043"/>
    <n v="7061262"/>
  </r>
  <r>
    <s v="ZAF"/>
    <n v="3544"/>
    <n v="12319500"/>
    <n v="11845000"/>
    <n v="5107335"/>
    <n v="5180467"/>
    <n v="2.4121190405563762"/>
    <n v="2.286473400950146"/>
    <n v="0.12559999999999999"/>
    <n v="26741"/>
    <n v="0.96150000000000002"/>
    <n v="10143"/>
    <n v="0.94789999999999996"/>
    <n v="13876698"/>
    <n v="7212165"/>
    <n v="6664533"/>
  </r>
  <r>
    <s v="DOM"/>
    <n v="2024"/>
    <n v="1171500"/>
    <n v="1040500"/>
    <n v="489525"/>
    <n v="472116"/>
    <n v="2.3931362034625403"/>
    <n v="2.2039075142549711"/>
    <n v="0.18920000000000001"/>
    <n v="41163"/>
    <n v="0.88819999999999999"/>
    <n v="0.96440000000000003"/>
    <n v="0.92100000000000004"/>
    <n v="1250359"/>
    <n v="681975"/>
    <n v="568384"/>
  </r>
  <r>
    <s v="BOL"/>
    <n v="2024"/>
    <n v="1363000"/>
    <n v="1328500"/>
    <n v="570400"/>
    <n v="557241"/>
    <n v="2.3895511921458628"/>
    <n v="2.3840672168774373"/>
    <n v="5.4999999999999997E-3"/>
    <n v="0.1149"/>
    <n v="0.97470000000000001"/>
    <n v="0.97689999999999999"/>
    <n v="0.99770000000000003"/>
    <n v="1563859"/>
    <n v="792600"/>
    <n v="771259"/>
  </r>
  <r>
    <s v="AZE"/>
    <n v="2024"/>
    <n v="807500"/>
    <n v="845500"/>
    <n v="343570"/>
    <n v="312059"/>
    <n v="2.3503216229589312"/>
    <n v="2.7094235384975276"/>
    <n v="-0.35909999999999997"/>
    <n v="-70972"/>
    <n v="10471"/>
    <n v="0.9083"/>
    <n v="11528"/>
    <n v="997371"/>
    <n v="463930"/>
    <n v="533441"/>
  </r>
  <r>
    <s v="DZA"/>
    <n v="2024"/>
    <n v="3553000"/>
    <n v="2885000"/>
    <n v="1518850"/>
    <n v="1460841"/>
    <n v="2.3392698423149092"/>
    <n v="1.974889806625088"/>
    <n v="0.3644"/>
    <n v="84461"/>
    <n v="0.81200000000000006"/>
    <n v="0.96179999999999999"/>
    <n v="0.84430000000000005"/>
    <n v="3458309"/>
    <n v="2034150"/>
    <n v="1424159"/>
  </r>
  <r>
    <s v="EGY"/>
    <s v="55plus"/>
    <n v="9394000"/>
    <n v="2822500"/>
    <n v="4054198"/>
    <n v="4160093"/>
    <n v="2.3171043940133167"/>
    <n v="0.67847040919517909"/>
    <n v="16386"/>
    <n v="547018"/>
    <n v="0.30049999999999999"/>
    <n v="10261"/>
    <n v="0.29289999999999999"/>
    <n v="4002209"/>
    <n v="5339802"/>
    <n v="-1337593"/>
  </r>
  <r>
    <s v="CRI"/>
    <n v="2534"/>
    <n v="941500"/>
    <n v="720500"/>
    <n v="408969"/>
    <n v="397302"/>
    <n v="2.3021304793272841"/>
    <n v="1.8134819356559997"/>
    <n v="0.48859999999999998"/>
    <n v="11873"/>
    <n v="0.76529999999999998"/>
    <n v="0.97150000000000003"/>
    <n v="0.78779999999999994"/>
    <n v="855729"/>
    <n v="532531"/>
    <n v="323198"/>
  </r>
  <r>
    <s v="CRI"/>
    <n v="2024"/>
    <n v="433000"/>
    <n v="460500"/>
    <n v="188626"/>
    <n v="181283"/>
    <n v="2.2955478035901731"/>
    <n v="2.5402271586414611"/>
    <n v="-0.2447"/>
    <n v="-50598"/>
    <n v="10635"/>
    <n v="0.96109999999999995"/>
    <n v="11065"/>
    <n v="523591"/>
    <n v="244374"/>
    <n v="279217"/>
  </r>
  <r>
    <s v="MEX"/>
    <n v="2024"/>
    <n v="12354000"/>
    <n v="12700500"/>
    <n v="5598363"/>
    <n v="5502324"/>
    <n v="2.206716499090895"/>
    <n v="2.3082064960187734"/>
    <n v="-0.10150000000000001"/>
    <n v="-22479"/>
    <n v="1028"/>
    <n v="0.98280000000000001"/>
    <n v="1046"/>
    <n v="13953813"/>
    <n v="6755637"/>
    <n v="7198176"/>
  </r>
  <r>
    <s v="DOM"/>
    <n v="2534"/>
    <n v="1980500"/>
    <n v="1338500"/>
    <n v="918855"/>
    <n v="898684"/>
    <n v="2.1553999270831632"/>
    <n v="1.4894000560820044"/>
    <n v="0.66600000000000004"/>
    <n v="182726"/>
    <n v="0.67579999999999996"/>
    <n v="0.97799999999999998"/>
    <n v="0.69099999999999995"/>
    <n v="1501461"/>
    <n v="1061645"/>
    <n v="439816"/>
  </r>
  <r>
    <s v="BHR"/>
    <n v="2024"/>
    <n v="148000"/>
    <n v="117000"/>
    <n v="68725"/>
    <n v="42445"/>
    <n v="2.1535103674063296"/>
    <n v="2.7565084226646248"/>
    <n v="-0.60299999999999998"/>
    <n v="-12281"/>
    <n v="0.79049999999999998"/>
    <n v="0.61760000000000004"/>
    <s v="01,01,2028"/>
    <n v="153830"/>
    <n v="79275"/>
    <n v="74555"/>
  </r>
  <r>
    <s v="URY"/>
    <n v="2534"/>
    <n v="543500"/>
    <n v="394000"/>
    <n v="253103"/>
    <n v="245124"/>
    <n v="2.1473471274540405"/>
    <n v="1.6073497495145315"/>
    <n v="0.54"/>
    <n v="143819"/>
    <n v="0.72489999999999999"/>
    <n v="0.96850000000000003"/>
    <n v="0.74850000000000005"/>
    <n v="439273"/>
    <n v="290397"/>
    <n v="148876"/>
  </r>
  <r>
    <s v="PRY"/>
    <n v="2024"/>
    <n v="625000"/>
    <n v="604000"/>
    <n v="291883"/>
    <n v="281492"/>
    <n v="2.1412689330999064"/>
    <n v="2.1457092919159337"/>
    <n v="-4.4000000000000003E-3"/>
    <n v="-0.1036"/>
    <n v="0.96640000000000004"/>
    <n v="0.96440000000000003"/>
    <n v="10021"/>
    <n v="655625"/>
    <n v="333117"/>
    <n v="322508"/>
  </r>
  <r>
    <s v="URY"/>
    <n v="2024"/>
    <n v="259500"/>
    <n v="290500"/>
    <n v="122252"/>
    <n v="117352"/>
    <n v="2.1226646598828651"/>
    <n v="2.4754584497920784"/>
    <n v="-0.3528"/>
    <n v="-76726"/>
    <n v="11195"/>
    <n v="0.95989999999999998"/>
    <n v="11663"/>
    <n v="310396"/>
    <n v="137248"/>
    <n v="173148"/>
  </r>
  <r>
    <s v="AZE"/>
    <n v="2534"/>
    <n v="1637000"/>
    <n v="1216500"/>
    <n v="780854"/>
    <n v="814482"/>
    <n v="2.0964226347050792"/>
    <n v="1.4935873352633944"/>
    <n v="0.6028"/>
    <n v="16792"/>
    <n v="0.74309999999999998"/>
    <n v="10431"/>
    <n v="0.71240000000000003"/>
    <n v="1258164"/>
    <n v="856146"/>
    <n v="402018"/>
  </r>
  <r>
    <s v="DZA"/>
    <n v="2534"/>
    <n v="6864000"/>
    <n v="3918000"/>
    <n v="3276483"/>
    <n v="3091191"/>
    <n v="2.0949292274673788"/>
    <n v="1.2674726343341449"/>
    <n v="0.82750000000000001"/>
    <n v="246091"/>
    <n v="0.57079999999999997"/>
    <n v="0.94340000000000002"/>
    <n v="0.60499999999999998"/>
    <n v="4414326"/>
    <n v="3587517"/>
    <n v="826809"/>
  </r>
  <r>
    <s v="PAN"/>
    <n v="2024"/>
    <n v="383500"/>
    <n v="391500"/>
    <n v="183117"/>
    <n v="176351"/>
    <n v="2.0942894433613484"/>
    <n v="2.2200044229973179"/>
    <n v="-0.12570000000000001"/>
    <n v="-29139"/>
    <n v="10209"/>
    <n v="0.96309999999999996"/>
    <s v="01,06,2025"/>
    <n v="415532"/>
    <n v="200383"/>
    <n v="215149"/>
  </r>
  <r>
    <s v="PAN"/>
    <n v="2534"/>
    <n v="720500"/>
    <n v="534000"/>
    <n v="347437"/>
    <n v="339770"/>
    <n v="2.0737572567112887"/>
    <n v="1.571651411248786"/>
    <n v="0.50209999999999999"/>
    <n v="137737"/>
    <n v="0.74119999999999997"/>
    <n v="0.97789999999999999"/>
    <n v="0.75800000000000001"/>
    <n v="567293"/>
    <n v="373063"/>
    <n v="194230"/>
  </r>
  <r>
    <s v="GTM"/>
    <n v="2024"/>
    <n v="1882000"/>
    <n v="1768500"/>
    <n v="939890"/>
    <n v="923662"/>
    <n v="2.0023619785294025"/>
    <n v="1.9146614237675688"/>
    <n v="8.77E-2"/>
    <n v="2239"/>
    <n v="0.93969999999999998"/>
    <n v="0.98270000000000002"/>
    <n v="0.95620000000000005"/>
    <n v="1786948"/>
    <n v="942110"/>
    <n v="844838"/>
  </r>
  <r>
    <s v="BOL"/>
    <n v="2534"/>
    <n v="2096500"/>
    <n v="1585000"/>
    <n v="1059440"/>
    <n v="1045102"/>
    <n v="1.9788756324095749"/>
    <n v="1.5165983798710556"/>
    <n v="0.46229999999999999"/>
    <n v="13225"/>
    <n v="0.75600000000000001"/>
    <n v="0.98650000000000004"/>
    <n v="0.76629999999999998"/>
    <n v="1576958"/>
    <n v="1037060"/>
    <n v="539898"/>
  </r>
  <r>
    <s v="ARG"/>
    <n v="2024"/>
    <n v="3501500"/>
    <n v="3915000"/>
    <n v="1769979"/>
    <n v="1691544"/>
    <n v="1.9782720585950455"/>
    <n v="2.3144535406705353"/>
    <n v="-0.3362"/>
    <n v="-78314"/>
    <n v="11181"/>
    <n v="0.95569999999999999"/>
    <n v="11699"/>
    <n v="3954977"/>
    <n v="1731521"/>
    <n v="2223456"/>
  </r>
  <r>
    <s v="BGD"/>
    <n v="2024"/>
    <n v="14969500"/>
    <n v="7727500"/>
    <n v="7692709"/>
    <n v="8612787"/>
    <n v="1.9459334806503146"/>
    <n v="0.89721248185982072"/>
    <n v="10487"/>
    <n v="368859"/>
    <n v="0.51619999999999999"/>
    <n v="11196"/>
    <n v="0.46110000000000001"/>
    <n v="6391504"/>
    <n v="7276791"/>
    <n v="-885287"/>
  </r>
  <r>
    <s v="MAR"/>
    <n v="3544"/>
    <n v="5330500"/>
    <n v="3759500"/>
    <n v="2804584"/>
    <n v="2750550"/>
    <n v="1.900638383446529"/>
    <n v="1.3668175455817928"/>
    <n v="0.53380000000000005"/>
    <n v="163375"/>
    <n v="0.70530000000000004"/>
    <n v="0.98070000000000002"/>
    <n v="0.71919999999999995"/>
    <n v="3534866"/>
    <n v="2525916"/>
    <n v="1008950"/>
  </r>
  <r>
    <s v="TUR"/>
    <n v="3544"/>
    <n v="12003000"/>
    <n v="6810500"/>
    <n v="6446088"/>
    <n v="6310556"/>
    <n v="1.8620595933533641"/>
    <n v="1.0792234471891224"/>
    <n v="0.78280000000000005"/>
    <n v="266155"/>
    <n v="0.56740000000000002"/>
    <n v="0.97899999999999998"/>
    <n v="0.5796"/>
    <n v="6056856"/>
    <n v="5556912"/>
    <n v="499944"/>
  </r>
  <r>
    <s v="ARG"/>
    <n v="2534"/>
    <n v="6553500"/>
    <n v="4974000"/>
    <n v="3551384"/>
    <n v="3424348"/>
    <n v="1.8453369165373275"/>
    <n v="1.4525392863108539"/>
    <n v="0.39279999999999998"/>
    <n v="119106"/>
    <n v="0.75900000000000001"/>
    <n v="0.96419999999999995"/>
    <n v="0.78720000000000001"/>
    <n v="4551768"/>
    <n v="3002116"/>
    <n v="1549652"/>
  </r>
  <r>
    <s v="PRY"/>
    <n v="2534"/>
    <n v="1061000"/>
    <n v="775000"/>
    <n v="595709"/>
    <n v="580440"/>
    <n v="1.7810709591428029"/>
    <n v="1.3351939907656261"/>
    <n v="0.44590000000000002"/>
    <n v="143081"/>
    <n v="0.73040000000000005"/>
    <n v="0.97440000000000004"/>
    <n v="0.74960000000000004"/>
    <n v="659851"/>
    <n v="465291"/>
    <n v="194560"/>
  </r>
  <r>
    <s v="BRA"/>
    <n v="2534"/>
    <n v="28797500"/>
    <n v="17682500"/>
    <n v="16239229"/>
    <n v="16098852"/>
    <n v="1.7733292633535742"/>
    <n v="1.0983702440397614"/>
    <n v="0.67500000000000004"/>
    <n v="235038"/>
    <n v="0.61399999999999999"/>
    <n v="0.99139999999999995"/>
    <n v="0.61929999999999996"/>
    <n v="14141919"/>
    <n v="12558271"/>
    <n v="1583648"/>
  </r>
  <r>
    <s v="BRA"/>
    <n v="2024"/>
    <n v="13624000"/>
    <n v="14844000"/>
    <n v="7838493"/>
    <n v="7627791"/>
    <n v="1.7380891964820278"/>
    <n v="1.9460417832633328"/>
    <n v="-0.20799999999999999"/>
    <n v="-56445"/>
    <n v="10895"/>
    <n v="0.97309999999999997"/>
    <n v="11196"/>
    <n v="13001716"/>
    <n v="5785507"/>
    <n v="7216209"/>
  </r>
  <r>
    <s v="EGY"/>
    <n v="3544"/>
    <n v="14069500"/>
    <n v="10531500"/>
    <n v="8140037"/>
    <n v="7945153"/>
    <n v="1.7284319469309537"/>
    <n v="1.325525134632398"/>
    <n v="0.40289999999999998"/>
    <n v="131929"/>
    <n v="0.74850000000000005"/>
    <n v="0.97609999999999997"/>
    <n v="0.76680000000000004"/>
    <n v="8515810"/>
    <n v="5929463"/>
    <n v="2586347"/>
  </r>
  <r>
    <s v="ARE"/>
    <s v="55plus"/>
    <n v="644500"/>
    <n v="542000"/>
    <n v="379735"/>
    <n v="219943"/>
    <n v="1.6972362305291848"/>
    <n v="2.464274834843573"/>
    <n v="-0.76700000000000002"/>
    <n v="-184317"/>
    <n v="0.84099999999999997"/>
    <n v="0.57920000000000005"/>
    <n v="1452"/>
    <n v="586822"/>
    <n v="264765"/>
    <n v="322057"/>
  </r>
  <r>
    <s v="MAR"/>
    <s v="55plus"/>
    <n v="2867000"/>
    <n v="1416000"/>
    <n v="1701598"/>
    <n v="1767288"/>
    <n v="1.6848867946483246"/>
    <n v="0.80122764371172106"/>
    <n v="0.88370000000000004"/>
    <n v="355438"/>
    <n v="0.49390000000000001"/>
    <n v="10386"/>
    <n v="0.47549999999999998"/>
    <n v="814114"/>
    <n v="1165402"/>
    <n v="-351288"/>
  </r>
  <r>
    <s v="POL"/>
    <n v="2024"/>
    <n v="1420500"/>
    <n v="1722500"/>
    <n v="845397"/>
    <n v="807288"/>
    <n v="1.6802756574721698"/>
    <n v="2.1336871104240371"/>
    <n v="-0.45340000000000003"/>
    <n v="-118882"/>
    <n v="12126"/>
    <n v="0.95489999999999997"/>
    <n v="12699"/>
    <n v="1490315"/>
    <n v="575103"/>
    <n v="915212"/>
  </r>
  <r>
    <s v="LKA"/>
    <n v="2024"/>
    <n v="1366500"/>
    <n v="874000"/>
    <n v="836957"/>
    <n v="817169"/>
    <n v="1.632700365729661"/>
    <n v="1.0695462015813131"/>
    <n v="0.56320000000000003"/>
    <n v="208402"/>
    <n v="0.63959999999999995"/>
    <n v="0.97640000000000005"/>
    <n v="0.65510000000000002"/>
    <n v="586374"/>
    <n v="529543"/>
    <n v="56831"/>
  </r>
  <r>
    <s v="GTM"/>
    <n v="2534"/>
    <n v="2676000"/>
    <n v="2103000"/>
    <n v="1654228"/>
    <n v="1643694"/>
    <n v="1.617673017262433"/>
    <n v="1.2794352233444912"/>
    <n v="0.3382"/>
    <n v="11675"/>
    <n v="0.78590000000000004"/>
    <n v="0.99360000000000004"/>
    <n v="0.79100000000000004"/>
    <n v="1481078"/>
    <n v="1021772"/>
    <n v="459306"/>
  </r>
  <r>
    <s v="BHR"/>
    <n v="2534"/>
    <n v="359500"/>
    <n v="215000"/>
    <n v="225797"/>
    <n v="121078"/>
    <n v="1.5921380709221113"/>
    <n v="1.7757148284576885"/>
    <n v="-0.18360000000000001"/>
    <n v="-54509"/>
    <n v="0.59809999999999997"/>
    <n v="0.53620000000000001"/>
    <n v="11154"/>
    <n v="227625"/>
    <n v="133703"/>
    <n v="93922"/>
  </r>
  <r>
    <s v="IRL"/>
    <n v="2024"/>
    <n v="288500"/>
    <n v="445000"/>
    <n v="181715"/>
    <n v="175868"/>
    <n v="1.5876509919379247"/>
    <n v="2.5303068210248596"/>
    <n v="-0.94269999999999998"/>
    <n v="-228913"/>
    <n v="15425"/>
    <n v="0.96779999999999999"/>
    <n v="15938"/>
    <n v="375917"/>
    <n v="106785"/>
    <n v="269132"/>
  </r>
  <r>
    <s v="PAK"/>
    <n v="2024"/>
    <n v="19035000"/>
    <n v="9012500"/>
    <n v="12065308"/>
    <n v="11538231"/>
    <n v="1.5776638275624626"/>
    <n v="0.78109893969014832"/>
    <n v="0.79659999999999997"/>
    <n v="337705"/>
    <n v="0.47349999999999998"/>
    <n v="0.95630000000000004"/>
    <n v="0.49509999999999998"/>
    <n v="4443961"/>
    <n v="6969692"/>
    <n v="-2525731"/>
  </r>
  <r>
    <s v="CAN"/>
    <n v="2024"/>
    <n v="1955000"/>
    <n v="2215000"/>
    <n v="1256363"/>
    <n v="1215737"/>
    <n v="1.5560789357852787"/>
    <n v="1.8219401071119823"/>
    <n v="-0.26590000000000003"/>
    <n v="-78703"/>
    <n v="1133"/>
    <n v="0.9677"/>
    <n v="11708"/>
    <n v="1697900"/>
    <n v="698637"/>
    <n v="999263"/>
  </r>
  <r>
    <s v="SWE"/>
    <n v="2024"/>
    <n v="489500"/>
    <n v="688500"/>
    <n v="315027"/>
    <n v="293110"/>
    <n v="1.5538350681052735"/>
    <n v="2.3489474941148374"/>
    <n v="-0.79510000000000003"/>
    <n v="-20373"/>
    <n v="14065"/>
    <n v="0.9304"/>
    <n v="15117"/>
    <n v="569863"/>
    <n v="174473"/>
    <n v="395390"/>
  </r>
  <r>
    <s v="BEL"/>
    <n v="2024"/>
    <n v="532000"/>
    <n v="698000"/>
    <n v="348596"/>
    <n v="332792"/>
    <n v="1.5261219291099153"/>
    <n v="2.0974061876487418"/>
    <n v="-0.57130000000000003"/>
    <n v="-15766"/>
    <n v="1312"/>
    <n v="0.95469999999999999"/>
    <n v="13743"/>
    <n v="548612"/>
    <n v="183404"/>
    <n v="365208"/>
  </r>
  <r>
    <s v="NOR"/>
    <n v="2024"/>
    <n v="270500"/>
    <n v="362500"/>
    <n v="177597"/>
    <n v="169914"/>
    <n v="1.5231113138172379"/>
    <n v="2.1334322068811282"/>
    <n v="-0.61029999999999995"/>
    <n v="-166912"/>
    <n v="13401"/>
    <n v="0.95669999999999999"/>
    <n v="14008"/>
    <n v="285489"/>
    <n v="92903"/>
    <n v="192586"/>
  </r>
  <r>
    <s v="ROU"/>
    <n v="2024"/>
    <n v="764000"/>
    <n v="872500"/>
    <n v="513019"/>
    <n v="492570"/>
    <n v="1.4892235960071654"/>
    <n v="1.77132184258075"/>
    <n v="-0.28210000000000002"/>
    <n v="-86519"/>
    <n v="1142"/>
    <n v="0.96009999999999995"/>
    <n v="11895"/>
    <n v="630911"/>
    <n v="250981"/>
    <n v="379930"/>
  </r>
  <r>
    <s v="GRC"/>
    <n v="2024"/>
    <n v="401500"/>
    <n v="523000"/>
    <n v="275038"/>
    <n v="249384"/>
    <n v="1.4597982824191567"/>
    <n v="2.0971674205241717"/>
    <n v="-0.63739999999999997"/>
    <n v="-179189"/>
    <n v="13026"/>
    <n v="0.90669999999999995"/>
    <n v="14366"/>
    <n v="400078"/>
    <n v="126462"/>
    <n v="273616"/>
  </r>
  <r>
    <s v="ITA"/>
    <n v="2024"/>
    <n v="2247000"/>
    <n v="2317000"/>
    <n v="1559724"/>
    <n v="1465379"/>
    <n v="1.4406394977572956"/>
    <n v="1.58116091468487"/>
    <n v="-0.14050000000000001"/>
    <n v="-46503"/>
    <n v="10312"/>
    <n v="0.9395"/>
    <n v="10976"/>
    <n v="1538897"/>
    <n v="687276"/>
    <n v="851621"/>
  </r>
  <r>
    <s v="ESP"/>
    <n v="2024"/>
    <n v="1856000"/>
    <n v="1996000"/>
    <n v="1316716"/>
    <n v="1245750"/>
    <n v="1.4095674389921593"/>
    <n v="1.6022476419827414"/>
    <n v="-0.19270000000000001"/>
    <n v="-63975"/>
    <n v="10754"/>
    <n v="0.94610000000000005"/>
    <n v="11367"/>
    <n v="1289534"/>
    <n v="539284"/>
    <n v="750250"/>
  </r>
  <r>
    <s v="DEU"/>
    <n v="2024"/>
    <n v="2913500"/>
    <n v="3144000"/>
    <n v="2084525"/>
    <n v="1950436"/>
    <n v="1.3976805267387054"/>
    <n v="1.6119472774292518"/>
    <n v="-0.21429999999999999"/>
    <n v="-71194"/>
    <n v="10791"/>
    <n v="0.93569999999999998"/>
    <n v="11533"/>
    <n v="2022539"/>
    <n v="828975"/>
    <n v="1193564"/>
  </r>
  <r>
    <s v="GBR"/>
    <n v="2024"/>
    <n v="2875000"/>
    <n v="3199000"/>
    <n v="2061253"/>
    <n v="1957753"/>
    <n v="1.3947826880057907"/>
    <n v="1.6340161399318505"/>
    <n v="-0.2392"/>
    <n v="-78986"/>
    <n v="11127"/>
    <n v="0.94979999999999998"/>
    <n v="11715"/>
    <n v="2054994"/>
    <n v="813747"/>
    <n v="1241247"/>
  </r>
  <r>
    <s v="QAT"/>
    <n v="3544"/>
    <n v="834000"/>
    <n v="340500"/>
    <n v="605715"/>
    <n v="182892"/>
    <n v="1.3768851687674897"/>
    <n v="1.8617544780526212"/>
    <n v="-0.4849"/>
    <n v="-149714"/>
    <n v="0.4083"/>
    <n v="0.3019"/>
    <n v="13524"/>
    <n v="385893"/>
    <n v="228285"/>
    <n v="157608"/>
  </r>
  <r>
    <s v="FIN"/>
    <n v="2024"/>
    <n v="220500"/>
    <n v="320500"/>
    <n v="161454"/>
    <n v="153381"/>
    <n v="1.3657140733583559"/>
    <n v="2.0895678082682991"/>
    <n v="-0.72389999999999999"/>
    <n v="-209492"/>
    <n v="14535"/>
    <n v="0.95"/>
    <s v="01,01,1953"/>
    <n v="226165"/>
    <n v="59046"/>
    <n v="167119"/>
  </r>
  <r>
    <s v="ZAF"/>
    <s v="55plus"/>
    <n v="2874000"/>
    <n v="3111000"/>
    <n v="2119566"/>
    <n v="2675794"/>
    <n v="1.3559379608844453"/>
    <n v="1.1626455549268739"/>
    <n v="0.1933"/>
    <n v="76746"/>
    <n v="10825"/>
    <n v="12624"/>
    <n v="0.85750000000000004"/>
    <n v="1189640"/>
    <n v="754434"/>
    <n v="435206"/>
  </r>
  <r>
    <s v="CAN"/>
    <n v="2534"/>
    <n v="3932000"/>
    <n v="2930500"/>
    <n v="2981873"/>
    <n v="2795921"/>
    <n v="1.3186342946195226"/>
    <n v="1.0481340495672089"/>
    <n v="0.27050000000000002"/>
    <n v="114291"/>
    <n v="0.74529999999999996"/>
    <n v="0.93759999999999999"/>
    <n v="0.79490000000000005"/>
    <n v="1084706"/>
    <n v="950127"/>
    <n v="134579"/>
  </r>
  <r>
    <s v="NLD"/>
    <n v="2024"/>
    <n v="775000"/>
    <n v="1108000"/>
    <n v="589941"/>
    <n v="570673"/>
    <n v="1.3136906911030086"/>
    <n v="1.9415672372794928"/>
    <n v="-0.62790000000000001"/>
    <n v="-192881"/>
    <n v="14297"/>
    <n v="0.96730000000000005"/>
    <n v="1478"/>
    <n v="722386"/>
    <n v="185059"/>
    <n v="537327"/>
  </r>
  <r>
    <s v="DNK"/>
    <n v="2024"/>
    <n v="246500"/>
    <n v="341000"/>
    <n v="188497"/>
    <n v="181669"/>
    <n v="1.3077131201027072"/>
    <n v="1.877040111411413"/>
    <n v="-0.56930000000000003"/>
    <n v="-178766"/>
    <n v="13834"/>
    <n v="0.96379999999999999"/>
    <n v="14354"/>
    <n v="217334"/>
    <n v="58003"/>
    <n v="159331"/>
  </r>
  <r>
    <s v="PRT"/>
    <n v="2024"/>
    <n v="380500"/>
    <n v="560500"/>
    <n v="291190"/>
    <n v="278358"/>
    <n v="1.3067069610906967"/>
    <n v="2.0135940048426848"/>
    <n v="-0.70689999999999997"/>
    <n v="-212898"/>
    <n v="14731"/>
    <n v="0.95589999999999997"/>
    <n v="15411"/>
    <n v="371452"/>
    <n v="89310"/>
    <n v="282142"/>
  </r>
  <r>
    <s v="QAT"/>
    <s v="55plus"/>
    <n v="128500"/>
    <n v="83000"/>
    <n v="98368"/>
    <n v="36247"/>
    <n v="1.3063191281717632"/>
    <n v="2.2898446768008385"/>
    <n v="-0.98350000000000004"/>
    <n v="-273493"/>
    <n v="0.64590000000000003"/>
    <n v="0.36849999999999999"/>
    <n v="17528"/>
    <n v="76885"/>
    <n v="30132"/>
    <n v="46753"/>
  </r>
  <r>
    <s v="AUT"/>
    <n v="2024"/>
    <n v="311000"/>
    <n v="399500"/>
    <n v="239869"/>
    <n v="227858"/>
    <n v="1.296541028644802"/>
    <n v="1.753284940620913"/>
    <n v="-0.45669999999999999"/>
    <n v="-149761"/>
    <n v="12846"/>
    <n v="0.94989999999999997"/>
    <n v="13524"/>
    <n v="242773"/>
    <n v="71131"/>
    <n v="171642"/>
  </r>
  <r>
    <s v="HUN"/>
    <n v="2024"/>
    <n v="329500"/>
    <n v="426500"/>
    <n v="258712"/>
    <n v="244073"/>
    <n v="1.2736169949596463"/>
    <n v="1.7474280235831083"/>
    <n v="-0.4738"/>
    <n v="-156837"/>
    <n v="12944"/>
    <n v="0.94340000000000002"/>
    <n v="13721"/>
    <n v="253215"/>
    <n v="70788"/>
    <n v="182427"/>
  </r>
  <r>
    <s v="CHE"/>
    <n v="2024"/>
    <n v="299000"/>
    <n v="368000"/>
    <n v="235041"/>
    <n v="221470"/>
    <n v="1.2721184814564268"/>
    <n v="1.6616245992685239"/>
    <n v="-0.38950000000000001"/>
    <n v="-132768"/>
    <n v="12308"/>
    <n v="0.94230000000000003"/>
    <n v="13062"/>
    <n v="210489"/>
    <n v="63959"/>
    <n v="146530"/>
  </r>
  <r>
    <s v="KWT"/>
    <n v="3544"/>
    <n v="1032500"/>
    <n v="650500"/>
    <n v="816745"/>
    <n v="425275"/>
    <n v="1.2641644576948741"/>
    <n v="1.5295984950914114"/>
    <n v="-0.26540000000000002"/>
    <n v="-9501"/>
    <n v="0.63"/>
    <n v="0.52070000000000005"/>
    <n v="12099"/>
    <n v="440980"/>
    <n v="215755"/>
    <n v="225225"/>
  </r>
  <r>
    <s v="BGD"/>
    <n v="2534"/>
    <n v="16249500"/>
    <n v="7284000"/>
    <n v="13028043"/>
    <n v="15720846"/>
    <n v="1.2472709830632276"/>
    <n v="0.4633338434839957"/>
    <n v="0.78390000000000004"/>
    <n v="458281"/>
    <n v="0.44829999999999998"/>
    <n v="12067"/>
    <n v="0.3715"/>
    <n v="-5215389"/>
    <n v="3221457"/>
    <n v="-8436846"/>
  </r>
  <r>
    <s v="FRA"/>
    <n v="2024"/>
    <n v="2729500"/>
    <n v="3027000"/>
    <n v="2192279"/>
    <n v="2084824"/>
    <n v="1.2450513826023057"/>
    <n v="1.4519211213992165"/>
    <n v="-0.2069"/>
    <n v="-76704"/>
    <n v="1109"/>
    <n v="0.95099999999999996"/>
    <n v="11661"/>
    <n v="1479397"/>
    <n v="537221"/>
    <n v="942176"/>
  </r>
  <r>
    <s v="LKA"/>
    <n v="2534"/>
    <n v="1885000"/>
    <n v="1005000"/>
    <n v="1555947"/>
    <n v="1558165"/>
    <n v="1.2114808537822945"/>
    <n v="0.64498945875436808"/>
    <n v="0.5665"/>
    <n v="305144"/>
    <n v="0.53320000000000001"/>
    <n v="10014"/>
    <n v="0.53249999999999997"/>
    <n v="-224112"/>
    <n v="329053"/>
    <n v="-553165"/>
  </r>
  <r>
    <s v="LBN"/>
    <n v="3544"/>
    <n v="391500"/>
    <n v="245000"/>
    <n v="328060"/>
    <n v="374605"/>
    <n v="1.1933792598914832"/>
    <n v="0.65402223675604976"/>
    <n v="0.53939999999999999"/>
    <n v="291954"/>
    <n v="0.62580000000000002"/>
    <n v="11419"/>
    <n v="0.54800000000000004"/>
    <n v="-66165"/>
    <n v="63440"/>
    <n v="-129605"/>
  </r>
  <r>
    <s v="PAK"/>
    <n v="2534"/>
    <n v="23483000"/>
    <n v="10328500"/>
    <n v="19794340"/>
    <n v="18903549"/>
    <n v="1.1863492291230726"/>
    <n v="0.54637888366888143"/>
    <n v="0.64"/>
    <n v="369343"/>
    <n v="0.43980000000000002"/>
    <n v="0.95499999999999996"/>
    <n v="0.46050000000000002"/>
    <n v="-4886389"/>
    <n v="3688660"/>
    <n v="-8575049"/>
  </r>
  <r>
    <s v="IRQ"/>
    <n v="3544"/>
    <n v="3087500"/>
    <n v="1599500"/>
    <n v="2686226"/>
    <n v="2684373"/>
    <n v="1.1493820698630719"/>
    <n v="0.59585609004411833"/>
    <n v="0.55349999999999999"/>
    <n v="317164"/>
    <n v="0.5181"/>
    <n v="0.99929999999999997"/>
    <n v="0.51849999999999996"/>
    <n v="-683599"/>
    <n v="401274"/>
    <n v="-1084873"/>
  </r>
  <r>
    <s v="OMN"/>
    <n v="2024"/>
    <n v="321500"/>
    <n v="239500"/>
    <n v="282025"/>
    <n v="151686"/>
    <n v="1.1399698608279407"/>
    <n v="1.578919610247485"/>
    <n v="-0.43890000000000001"/>
    <n v="-161444"/>
    <n v="0.74490000000000001"/>
    <n v="0.53779999999999994"/>
    <n v="13851"/>
    <n v="127289"/>
    <n v="39475"/>
    <n v="87814"/>
  </r>
  <r>
    <s v="CZE"/>
    <n v="2024"/>
    <n v="307500"/>
    <n v="476000"/>
    <n v="271699"/>
    <n v="260000"/>
    <n v="1.1317671393711424"/>
    <n v="1.8307692307692307"/>
    <n v="-0.69899999999999995"/>
    <n v="-235947"/>
    <n v="1548"/>
    <n v="0.95689999999999997"/>
    <n v="16177"/>
    <n v="251801"/>
    <n v="35801"/>
    <n v="216000"/>
  </r>
  <r>
    <s v="KEN"/>
    <n v="2024"/>
    <n v="3204000"/>
    <n v="2244000"/>
    <n v="2836210"/>
    <n v="2900422"/>
    <n v="1.129676575429887"/>
    <n v="0.77368051959335571"/>
    <n v="0.35599999999999998"/>
    <n v="187036"/>
    <n v="0.70040000000000002"/>
    <n v="10226"/>
    <n v="0.68489999999999995"/>
    <n v="-288632"/>
    <n v="367790"/>
    <n v="-656422"/>
  </r>
  <r>
    <s v="IRQ"/>
    <s v="55plus"/>
    <n v="1289000"/>
    <n v="874500"/>
    <n v="1143645"/>
    <n v="1319933"/>
    <n v="1.1270980068115544"/>
    <n v="0.66253362860084564"/>
    <n v="0.46460000000000001"/>
    <n v="259587"/>
    <n v="0.6784"/>
    <n v="11541"/>
    <n v="0.58779999999999999"/>
    <n v="-300078"/>
    <n v="145355"/>
    <n v="-445433"/>
  </r>
  <r>
    <s v="KEN"/>
    <n v="2534"/>
    <n v="4916000"/>
    <n v="2694000"/>
    <n v="4374464"/>
    <n v="4589867"/>
    <n v="1.1237948237772672"/>
    <n v="0.58694511191718624"/>
    <n v="0.53680000000000005"/>
    <n v="313811"/>
    <n v="0.54800000000000004"/>
    <n v="10492"/>
    <n v="0.52229999999999999"/>
    <n v="-1354331"/>
    <n v="541536"/>
    <n v="-1895867"/>
  </r>
  <r>
    <s v="USA"/>
    <n v="2024"/>
    <n v="12682500"/>
    <n v="14525000"/>
    <n v="11587245"/>
    <n v="10886816"/>
    <n v="1.0945224684556165"/>
    <n v="1.3341825562221314"/>
    <n v="-0.2397"/>
    <n v="-98678"/>
    <n v="11453"/>
    <n v="0.93959999999999999"/>
    <n v="12189"/>
    <n v="4733439"/>
    <n v="1095255"/>
    <n v="3638184"/>
  </r>
  <r>
    <s v="GRC"/>
    <n v="2534"/>
    <n v="573000"/>
    <n v="736000"/>
    <n v="534615"/>
    <n v="486979"/>
    <n v="1.0717993322297354"/>
    <n v="1.5113588060265433"/>
    <n v="-0.43959999999999999"/>
    <n v="-170164"/>
    <n v="12845"/>
    <n v="0.91090000000000004"/>
    <n v="14101"/>
    <n v="287406"/>
    <n v="38385"/>
    <n v="249021"/>
  </r>
  <r>
    <s v="ROU"/>
    <n v="2534"/>
    <n v="1087500"/>
    <n v="1103000"/>
    <n v="1046933"/>
    <n v="998628"/>
    <n v="1.0387484203860229"/>
    <n v="1.1045153951221076"/>
    <n v="-6.5799999999999997E-2"/>
    <n v="-30685"/>
    <n v="10143"/>
    <n v="0.95389999999999997"/>
    <n v="10633"/>
    <n v="144939"/>
    <n v="40567"/>
    <n v="104372"/>
  </r>
  <r>
    <s v="JPN"/>
    <n v="4554"/>
    <n v="9155000"/>
    <n v="12168500"/>
    <n v="9259254"/>
    <n v="9116671"/>
    <n v="0.98874056160463897"/>
    <n v="1.3347525648342471"/>
    <n v="-0.34599999999999997"/>
    <n v="-148919"/>
    <n v="13292"/>
    <n v="0.98460000000000003"/>
    <s v="01,01,1935"/>
    <n v="2947575"/>
    <n v="-104254"/>
    <n v="3051829"/>
  </r>
  <r>
    <s v="OMN"/>
    <n v="2534"/>
    <n v="848500"/>
    <n v="403000"/>
    <n v="871609"/>
    <n v="379817"/>
    <n v="0.97348696491201903"/>
    <n v="1.061037289010234"/>
    <n v="-8.7599999999999997E-2"/>
    <n v="-43032"/>
    <n v="0.47499999999999998"/>
    <n v="0.43580000000000002"/>
    <n v="10899"/>
    <n v="74"/>
    <n v="-23109"/>
    <n v="23183"/>
  </r>
  <r>
    <s v="KAZ"/>
    <n v="3544"/>
    <n v="1432000"/>
    <n v="1008500"/>
    <n v="1496148"/>
    <n v="1496632"/>
    <n v="0.95712456254327782"/>
    <n v="0.67384634298879087"/>
    <n v="0.2833"/>
    <n v="173687"/>
    <n v="0.70430000000000004"/>
    <n v="10003"/>
    <n v="0.70409999999999995"/>
    <n v="-552280"/>
    <n v="-64148"/>
    <n v="-488132"/>
  </r>
  <r>
    <s v="PRT"/>
    <n v="2534"/>
    <n v="546000"/>
    <n v="777000"/>
    <n v="573058"/>
    <n v="557579"/>
    <n v="0.95278313887948518"/>
    <n v="1.3935245050477152"/>
    <n v="-0.44069999999999998"/>
    <n v="-187845"/>
    <n v="14231"/>
    <n v="0.97299999999999998"/>
    <n v="14626"/>
    <n v="192363"/>
    <n v="-27058"/>
    <n v="219421"/>
  </r>
  <r>
    <s v="SAU"/>
    <n v="4554"/>
    <n v="2411000"/>
    <n v="2811500"/>
    <n v="2549360"/>
    <n v="1257870"/>
    <n v="0.94572755515109674"/>
    <n v="2.2351276364012178"/>
    <n v="-12894"/>
    <n v="-405363"/>
    <n v="11661"/>
    <n v="0.49340000000000001"/>
    <n v="23634"/>
    <n v="1415270"/>
    <n v="-138360"/>
    <n v="1553630"/>
  </r>
  <r>
    <s v="AZE"/>
    <n v="3544"/>
    <n v="790500"/>
    <n v="517000"/>
    <n v="836349"/>
    <n v="875976"/>
    <n v="0.94517958412098302"/>
    <n v="0.59019881823246301"/>
    <n v="0.35499999999999998"/>
    <n v="231201"/>
    <n v="0.65400000000000003"/>
    <n v="10474"/>
    <n v="0.62439999999999996"/>
    <n v="-404825"/>
    <n v="-45849"/>
    <n v="-358976"/>
  </r>
  <r>
    <s v="ARE"/>
    <n v="4554"/>
    <n v="852500"/>
    <n v="660500"/>
    <n v="902422"/>
    <n v="387986"/>
    <n v="0.94467998342239001"/>
    <n v="1.7023810137479187"/>
    <n v="-0.75770000000000004"/>
    <n v="-286242"/>
    <n v="0.77480000000000004"/>
    <n v="0.4299"/>
    <n v="18023"/>
    <n v="222592"/>
    <n v="-49922"/>
    <n v="272514"/>
  </r>
  <r>
    <s v="KWT"/>
    <s v="55plus"/>
    <n v="232000"/>
    <n v="163500"/>
    <n v="247661"/>
    <n v="136415"/>
    <n v="0.93676436742159641"/>
    <n v="1.1985485467140711"/>
    <n v="-0.26179999999999998"/>
    <n v="-122598"/>
    <n v="0.70469999999999999"/>
    <n v="0.55079999999999996"/>
    <n v="12794"/>
    <n v="11424"/>
    <n v="-15661"/>
    <n v="27085"/>
  </r>
  <r>
    <s v="JPN"/>
    <s v="55plus"/>
    <n v="7454000"/>
    <n v="8260500"/>
    <n v="8183770"/>
    <n v="8036868"/>
    <n v="0.91082716156490229"/>
    <n v="1.0278257649621718"/>
    <n v="-0.11700000000000001"/>
    <n v="-6035"/>
    <n v="11082"/>
    <n v="0.98199999999999998"/>
    <n v="11285"/>
    <n v="-506138"/>
    <n v="-729770"/>
    <n v="223632"/>
  </r>
  <r>
    <s v="IRL"/>
    <n v="2534"/>
    <n v="299500"/>
    <n v="439000"/>
    <n v="329170"/>
    <n v="322091"/>
    <n v="0.9098642039067959"/>
    <n v="1.3629688504180495"/>
    <n v="-0.4531"/>
    <n v="-199357"/>
    <n v="14658"/>
    <n v="0.97850000000000004"/>
    <n v="1498"/>
    <n v="87239"/>
    <n v="-29670"/>
    <n v="116909"/>
  </r>
  <r>
    <s v="ESP"/>
    <n v="2534"/>
    <n v="2372500"/>
    <n v="2570500"/>
    <n v="2621150"/>
    <n v="2535200"/>
    <n v="0.90513705816149403"/>
    <n v="1.0139239507731146"/>
    <n v="-0.10879999999999999"/>
    <n v="-56688"/>
    <n v="10835"/>
    <n v="0.96719999999999995"/>
    <n v="11202"/>
    <n v="-213350"/>
    <n v="-248650"/>
    <n v="35300"/>
  </r>
  <r>
    <s v="TUR"/>
    <s v="55plus"/>
    <n v="3929500"/>
    <n v="2392500"/>
    <n v="4357324"/>
    <n v="4484460"/>
    <n v="0.90181496716792231"/>
    <n v="0.53350905125700754"/>
    <n v="0.36830000000000002"/>
    <n v="256601"/>
    <n v="0.6089"/>
    <n v="10292"/>
    <n v="0.59160000000000001"/>
    <n v="-2519784"/>
    <n v="-427824"/>
    <n v="-2091960"/>
  </r>
  <r>
    <s v="CRI"/>
    <n v="3544"/>
    <n v="358500"/>
    <n v="300500"/>
    <n v="402239"/>
    <n v="400163"/>
    <n v="0.8912611656254118"/>
    <n v="0.75094399032394299"/>
    <n v="0.14030000000000001"/>
    <n v="85444"/>
    <n v="0.83819999999999995"/>
    <n v="0.99480000000000002"/>
    <n v="0.84260000000000002"/>
    <n v="-143402"/>
    <n v="-43739"/>
    <n v="-99663"/>
  </r>
  <r>
    <s v="BOL"/>
    <n v="3544"/>
    <n v="745000"/>
    <n v="607500"/>
    <n v="845312"/>
    <n v="834288"/>
    <n v="0.88133139006662631"/>
    <n v="0.72816581324434726"/>
    <n v="0.1532"/>
    <n v="95164"/>
    <n v="0.81540000000000001"/>
    <n v="0.98699999999999999"/>
    <n v="0.82609999999999995"/>
    <n v="-327100"/>
    <n v="-100312"/>
    <n v="-226788"/>
  </r>
  <r>
    <s v="PAN"/>
    <n v="3544"/>
    <n v="267000"/>
    <n v="215000"/>
    <n v="315651"/>
    <n v="312434"/>
    <n v="0.84587091439596263"/>
    <n v="0.6881453362950255"/>
    <n v="0.15770000000000001"/>
    <n v="102819"/>
    <n v="0.80520000000000003"/>
    <n v="0.98980000000000001"/>
    <n v="0.8135"/>
    <n v="-146085"/>
    <n v="-48651"/>
    <n v="-97434"/>
  </r>
  <r>
    <s v="DOM"/>
    <n v="3544"/>
    <n v="653000"/>
    <n v="464000"/>
    <n v="774906"/>
    <n v="774927"/>
    <n v="0.84268285443653812"/>
    <n v="0.59876607732083154"/>
    <n v="0.24390000000000001"/>
    <n v="169216"/>
    <n v="0.71060000000000001"/>
    <n v="1"/>
    <n v="0.71060000000000001"/>
    <n v="-432833"/>
    <n v="-121906"/>
    <n v="-310927"/>
  </r>
  <r>
    <s v="GBR"/>
    <n v="2534"/>
    <n v="3879500"/>
    <n v="4435000"/>
    <n v="4644573"/>
    <n v="4444439"/>
    <n v="0.83527592310423371"/>
    <n v="0.99787622239837248"/>
    <n v="-0.16259999999999999"/>
    <n v="-8.8699999999999992"/>
    <n v="11432"/>
    <n v="0.95689999999999997"/>
    <n v="11947"/>
    <n v="-774512"/>
    <n v="-765073"/>
    <n v="-9439"/>
  </r>
  <r>
    <s v="FRA"/>
    <n v="2534"/>
    <n v="3273500"/>
    <n v="3547500"/>
    <n v="3943909"/>
    <n v="3895621"/>
    <n v="0.83001407993947118"/>
    <n v="0.91063786749275666"/>
    <n v="-8.0600000000000005E-2"/>
    <n v="-46318"/>
    <n v="10837"/>
    <n v="0.98780000000000001"/>
    <n v="10971"/>
    <n v="-1018530"/>
    <n v="-670409"/>
    <n v="-348121"/>
  </r>
  <r>
    <s v="POL"/>
    <n v="2534"/>
    <n v="1802000"/>
    <n v="2375000"/>
    <n v="2176934"/>
    <n v="2085764"/>
    <n v="0.82776969811670909"/>
    <n v="1.1386714892001204"/>
    <n v="-0.31090000000000001"/>
    <n v="-158104"/>
    <n v="1318"/>
    <n v="0.95809999999999995"/>
    <n v="13756"/>
    <n v="-85698"/>
    <n v="-374934"/>
    <n v="289236"/>
  </r>
  <r>
    <s v="KOR"/>
    <s v="55plus"/>
    <n v="3456500"/>
    <n v="3856000"/>
    <n v="4191824"/>
    <n v="4233539"/>
    <n v="0.82458137555393551"/>
    <n v="0.91082189156637039"/>
    <n v="-8.6199999999999999E-2"/>
    <n v="-49695"/>
    <n v="11156"/>
    <s v="01,01,2025"/>
    <n v="11046"/>
    <n v="-1112863"/>
    <n v="-735324"/>
    <n v="-377539"/>
  </r>
  <r>
    <s v="USA"/>
    <s v="55plus"/>
    <n v="16837500"/>
    <n v="9759500"/>
    <n v="20612996"/>
    <n v="20564704"/>
    <n v="0.81683904658983097"/>
    <n v="0.47457527227233615"/>
    <n v="0.34229999999999999"/>
    <n v="26503"/>
    <n v="0.5796"/>
    <n v="0.99770000000000003"/>
    <n v="0.58089999999999997"/>
    <n v="-14580700"/>
    <n v="-3775496"/>
    <n v="-10805204"/>
  </r>
  <r>
    <s v="MEX"/>
    <n v="3544"/>
    <n v="7072000"/>
    <n v="5973000"/>
    <n v="8718110"/>
    <n v="9707153"/>
    <n v="0.81118499307762804"/>
    <n v="0.61531944536158023"/>
    <n v="0.19589999999999999"/>
    <n v="137305"/>
    <n v="0.84460000000000002"/>
    <n v="11134"/>
    <n v="0.75860000000000005"/>
    <n v="-5380263"/>
    <n v="-1646110"/>
    <n v="-3734153"/>
  </r>
  <r>
    <s v="USA"/>
    <n v="3544"/>
    <n v="19250500"/>
    <n v="15100500"/>
    <n v="23766429"/>
    <n v="22350890"/>
    <n v="0.80998706200245729"/>
    <n v="0.67561068038006544"/>
    <n v="0.13439999999999999"/>
    <n v="90453"/>
    <n v="0.78439999999999999"/>
    <n v="0.94040000000000001"/>
    <n v="0.83409999999999995"/>
    <n v="-11766319"/>
    <n v="-4515929"/>
    <n v="-7250390"/>
  </r>
  <r>
    <s v="USA"/>
    <n v="2534"/>
    <n v="18914000"/>
    <n v="16256500"/>
    <n v="23494305"/>
    <n v="21927231"/>
    <n v="0.80504615905854626"/>
    <n v="0.74138408082625662"/>
    <n v="6.3700000000000007E-2"/>
    <n v="41167"/>
    <n v="0.85950000000000004"/>
    <n v="0.93330000000000002"/>
    <n v="0.92090000000000005"/>
    <n v="-10251036"/>
    <n v="-4580305"/>
    <n v="-5670731"/>
  </r>
  <r>
    <s v="BLR"/>
    <n v="3544"/>
    <n v="598500"/>
    <n v="440500"/>
    <n v="745993"/>
    <n v="733215"/>
    <n v="0.80228634853142056"/>
    <n v="0.60077876202750902"/>
    <n v="0.20150000000000001"/>
    <n v="14362"/>
    <n v="0.73599999999999999"/>
    <n v="0.9829"/>
    <n v="0.74880000000000002"/>
    <n v="-440208"/>
    <n v="-147493"/>
    <n v="-292715"/>
  </r>
  <r>
    <s v="HUN"/>
    <n v="2534"/>
    <n v="476500"/>
    <n v="590500"/>
    <n v="594399"/>
    <n v="557183"/>
    <n v="0.80165007007077738"/>
    <n v="1.059795435251973"/>
    <n v="-0.2581"/>
    <n v="-13868"/>
    <n v="12392"/>
    <n v="0.93740000000000001"/>
    <n v="1322"/>
    <n v="-84582"/>
    <n v="-117899"/>
    <n v="33317"/>
  </r>
  <r>
    <s v="ITA"/>
    <n v="2534"/>
    <n v="2595000"/>
    <n v="2783500"/>
    <n v="3255173"/>
    <n v="3013520"/>
    <n v="0.7971926530479333"/>
    <n v="0.92367065756988509"/>
    <n v="-0.1265"/>
    <n v="-73497"/>
    <n v="10726"/>
    <n v="0.92579999999999996"/>
    <n v="11586"/>
    <n v="-890193"/>
    <n v="-660173"/>
    <n v="-230020"/>
  </r>
  <r>
    <s v="PRY"/>
    <n v="3544"/>
    <n v="400500"/>
    <n v="293000"/>
    <n v="504914"/>
    <n v="496887"/>
    <n v="0.79320438728179454"/>
    <n v="0.58967129347316394"/>
    <n v="0.20349999999999999"/>
    <n v="147181"/>
    <n v="0.73160000000000003"/>
    <n v="0.98409999999999997"/>
    <n v="0.74339999999999995"/>
    <n v="-308301"/>
    <n v="-104414"/>
    <n v="-203887"/>
  </r>
  <r>
    <s v="NGA"/>
    <n v="2534"/>
    <n v="13447000"/>
    <n v="6321500"/>
    <n v="16998814"/>
    <n v="16420743"/>
    <n v="0.79105518773250882"/>
    <n v="0.38497039993866294"/>
    <n v="0.40610000000000002"/>
    <n v="345303"/>
    <n v="0.47010000000000002"/>
    <n v="0.96599999999999997"/>
    <n v="0.48659999999999998"/>
    <n v="-13651057"/>
    <n v="-3551814"/>
    <n v="-10099243"/>
  </r>
  <r>
    <s v="BEL"/>
    <n v="2534"/>
    <n v="579500"/>
    <n v="748500"/>
    <n v="737309"/>
    <n v="727246"/>
    <n v="0.78596626380527024"/>
    <n v="1.0292253240306581"/>
    <n v="-0.24329999999999999"/>
    <n v="-134013"/>
    <n v="12916"/>
    <n v="0.98640000000000005"/>
    <n v="13094"/>
    <n v="-136555"/>
    <n v="-157809"/>
    <n v="21254"/>
  </r>
  <r>
    <s v="ZAF"/>
    <n v="4554"/>
    <n v="2551500"/>
    <n v="4652500"/>
    <n v="3290462"/>
    <n v="3493533"/>
    <n v="0.77542302570277366"/>
    <n v="1.331746401136042"/>
    <n v="-0.55630000000000002"/>
    <n v="-264015"/>
    <n v="18234"/>
    <n v="10617"/>
    <n v="17174"/>
    <n v="420005"/>
    <n v="-738962"/>
    <n v="1158967"/>
  </r>
  <r>
    <s v="URY"/>
    <n v="3544"/>
    <n v="173500"/>
    <n v="149500"/>
    <n v="224784"/>
    <n v="221079"/>
    <n v="0.77185208911666314"/>
    <n v="0.6762288593670136"/>
    <n v="9.5600000000000004E-2"/>
    <n v="66034"/>
    <n v="0.86170000000000002"/>
    <n v="0.98350000000000004"/>
    <n v="0.87619999999999998"/>
    <n v="-122863"/>
    <n v="-51284"/>
    <n v="-71579"/>
  </r>
  <r>
    <s v="UKR"/>
    <s v="55plus"/>
    <n v="1856000"/>
    <n v="1805000"/>
    <n v="2448926"/>
    <n v="2901953"/>
    <n v="0.75788325167849091"/>
    <n v="0.62199491170256715"/>
    <n v="0.13589999999999999"/>
    <n v="98479"/>
    <n v="0.97250000000000003"/>
    <n v="1185"/>
    <n v="0.82069999999999999"/>
    <n v="-1689879"/>
    <n v="-592926"/>
    <n v="-1096953"/>
  </r>
  <r>
    <s v="AZE"/>
    <s v="55plus"/>
    <n v="401000"/>
    <n v="388000"/>
    <n v="535285"/>
    <n v="642342"/>
    <n v="0.74913363908945707"/>
    <n v="0.60403959261577167"/>
    <n v="0.14510000000000001"/>
    <n v="107225"/>
    <n v="0.96760000000000002"/>
    <s v="01,02,2025"/>
    <n v="0.80630000000000002"/>
    <n v="-388627"/>
    <n v="-134285"/>
    <n v="-254342"/>
  </r>
  <r>
    <s v="KAZ"/>
    <s v="55plus"/>
    <n v="657000"/>
    <n v="757500"/>
    <n v="878789"/>
    <n v="1052580"/>
    <n v="0.74761973579550955"/>
    <n v="0.71966026335290434"/>
    <n v="2.8000000000000001E-2"/>
    <n v="19055"/>
    <n v="1153"/>
    <n v="11978"/>
    <n v="0.96260000000000001"/>
    <n v="-516869"/>
    <n v="-221789"/>
    <n v="-295080"/>
  </r>
  <r>
    <s v="SWE"/>
    <n v="2534"/>
    <n v="533000"/>
    <n v="666000"/>
    <n v="713835"/>
    <n v="660188"/>
    <n v="0.74667114949533153"/>
    <n v="1.008803552927348"/>
    <n v="-0.2621"/>
    <n v="-149323"/>
    <n v="12495"/>
    <n v="0.92479999999999996"/>
    <n v="13511"/>
    <n v="-175023"/>
    <n v="-180835"/>
    <n v="5812"/>
  </r>
  <r>
    <s v="GTM"/>
    <s v="55plus"/>
    <n v="322000"/>
    <n v="329500"/>
    <n v="435724"/>
    <n v="532811"/>
    <n v="0.73899991737889126"/>
    <n v="0.61841816328867083"/>
    <n v="0.1206"/>
    <n v="88832"/>
    <n v="10233"/>
    <n v="12228"/>
    <n v="0.83679999999999999"/>
    <n v="-317035"/>
    <n v="-113724"/>
    <n v="-203311"/>
  </r>
  <r>
    <s v="BOL"/>
    <s v="55plus"/>
    <n v="299000"/>
    <n v="326000"/>
    <n v="406697"/>
    <n v="424884"/>
    <n v="0.73519106361738595"/>
    <n v="0.76726824262622273"/>
    <n v="-3.2099999999999997E-2"/>
    <n v="-2135"/>
    <n v="10903"/>
    <n v="10447"/>
    <n v="10436"/>
    <n v="-206581"/>
    <n v="-107697"/>
    <n v="-98884"/>
  </r>
  <r>
    <s v="DEU"/>
    <n v="2534"/>
    <n v="3626000"/>
    <n v="4191500"/>
    <n v="4984372"/>
    <n v="4580196"/>
    <n v="0.72747379208453944"/>
    <n v="0.91513550948474698"/>
    <n v="-0.18770000000000001"/>
    <n v="-114246"/>
    <n v="1156"/>
    <n v="0.91890000000000005"/>
    <n v="1258"/>
    <n v="-1747068"/>
    <n v="-1358372"/>
    <n v="-388696"/>
  </r>
  <r>
    <s v="KOR"/>
    <n v="4554"/>
    <n v="2995000"/>
    <n v="3299500"/>
    <n v="4149582"/>
    <n v="4025828"/>
    <n v="0.72175944468623587"/>
    <n v="0.81958295287329708"/>
    <n v="-9.7799999999999998E-2"/>
    <n v="-63466"/>
    <n v="11017"/>
    <n v="0.97019999999999995"/>
    <n v="11355"/>
    <n v="-1880910"/>
    <n v="-1154582"/>
    <n v="-726328"/>
  </r>
  <r>
    <s v="UKR"/>
    <n v="4554"/>
    <n v="1808500"/>
    <n v="2767000"/>
    <n v="2535508"/>
    <n v="2832335"/>
    <n v="0.71326929356957269"/>
    <n v="0.97693246031984216"/>
    <n v="-0.26369999999999999"/>
    <n v="-155995"/>
    <s v="01,01,1953"/>
    <n v="11171"/>
    <n v="13696"/>
    <n v="-792343"/>
    <n v="-727008"/>
    <n v="-65335"/>
  </r>
  <r>
    <s v="KAZ"/>
    <n v="4554"/>
    <n v="786000"/>
    <n v="652500"/>
    <n v="1105995"/>
    <n v="1204856"/>
    <n v="0.71067229056189218"/>
    <n v="0.54155849329712435"/>
    <n v="0.1691"/>
    <n v="13505"/>
    <n v="0.83020000000000005"/>
    <n v="10894"/>
    <n v="0.7621"/>
    <n v="-872351"/>
    <n v="-319995"/>
    <n v="-552356"/>
  </r>
  <r>
    <s v="BRA"/>
    <n v="3544"/>
    <n v="11521000"/>
    <n v="8653000"/>
    <n v="16433230"/>
    <n v="16709271"/>
    <n v="0.70107945912033121"/>
    <n v="0.51785622484667349"/>
    <n v="0.1832"/>
    <n v="150314"/>
    <n v="0.75109999999999999"/>
    <n v="10168"/>
    <n v="0.73870000000000002"/>
    <n v="-12968501"/>
    <n v="-4912230"/>
    <n v="-8056271"/>
  </r>
  <r>
    <s v="GTM"/>
    <n v="3544"/>
    <n v="829500"/>
    <n v="658000"/>
    <n v="1194805"/>
    <n v="1214797"/>
    <n v="0.69425554797644806"/>
    <n v="0.54165428462533249"/>
    <n v="0.15260000000000001"/>
    <n v="123473"/>
    <n v="0.79320000000000002"/>
    <n v="10167"/>
    <n v="0.7802"/>
    <n v="-922102"/>
    <n v="-365305"/>
    <n v="-556797"/>
  </r>
  <r>
    <s v="LBN"/>
    <n v="4554"/>
    <n v="205000"/>
    <n v="136000"/>
    <n v="295621"/>
    <n v="344876"/>
    <n v="0.69345547170194266"/>
    <n v="0.39434463401338454"/>
    <n v="0.29909999999999998"/>
    <n v="274969"/>
    <n v="0.66339999999999999"/>
    <n v="11666"/>
    <n v="0.56869999999999998"/>
    <n v="-299497"/>
    <n v="-90621"/>
    <n v="-208876"/>
  </r>
  <r>
    <s v="LBN"/>
    <s v="55plus"/>
    <n v="191500"/>
    <n v="161500"/>
    <n v="277118"/>
    <n v="315586"/>
    <n v="0.69104136144169637"/>
    <n v="0.51174640193164467"/>
    <n v="0.17929999999999999"/>
    <n v="149066"/>
    <n v="0.84330000000000005"/>
    <n v="11388"/>
    <n v="0.74050000000000005"/>
    <n v="-239704"/>
    <n v="-85618"/>
    <n v="-154086"/>
  </r>
  <r>
    <s v="TUR"/>
    <n v="4554"/>
    <n v="3973000"/>
    <n v="3807000"/>
    <n v="5760318"/>
    <n v="5763473"/>
    <n v="0.68971886621537215"/>
    <n v="0.66053922695569145"/>
    <n v="2.92E-2"/>
    <n v="2161"/>
    <n v="0.95820000000000005"/>
    <n v="10005"/>
    <n v="0.9577"/>
    <n v="-3743791"/>
    <n v="-1787318"/>
    <n v="-1956473"/>
  </r>
  <r>
    <s v="IRQ"/>
    <n v="4554"/>
    <n v="1341500"/>
    <n v="737500"/>
    <n v="1947885"/>
    <n v="2013426"/>
    <n v="0.68869568788711855"/>
    <n v="0.36629108792674775"/>
    <n v="0.32240000000000002"/>
    <n v="305601"/>
    <n v="0.54979999999999996"/>
    <n v="10336"/>
    <n v="0.53190000000000004"/>
    <n v="-1882311"/>
    <n v="-606385"/>
    <n v="-1275926"/>
  </r>
  <r>
    <s v="FIN"/>
    <n v="2534"/>
    <n v="244000"/>
    <n v="307500"/>
    <n v="355432"/>
    <n v="333025"/>
    <n v="0.68648855477278359"/>
    <n v="0.92335410254485395"/>
    <n v="-0.2369"/>
    <n v="-147136"/>
    <n v="12602"/>
    <n v="0.93700000000000006"/>
    <n v="13449"/>
    <n v="-136957"/>
    <n v="-111432"/>
    <n v="-25525"/>
  </r>
  <r>
    <s v="EGY"/>
    <n v="4554"/>
    <n v="4051000"/>
    <n v="4029000"/>
    <n v="5975901"/>
    <n v="5797744"/>
    <n v="0.67788940947984244"/>
    <n v="0.69492547446041075"/>
    <n v="-1.7000000000000001E-2"/>
    <n v="-1241"/>
    <n v="0.99460000000000004"/>
    <n v="0.97019999999999995"/>
    <n v="10251"/>
    <n v="-3693645"/>
    <n v="-1924901"/>
    <n v="-1768744"/>
  </r>
  <r>
    <s v="NLD"/>
    <n v="2534"/>
    <n v="845000"/>
    <n v="1187500"/>
    <n v="1248008"/>
    <n v="1217771"/>
    <n v="0.67707899308337771"/>
    <n v="0.97514228865689856"/>
    <n v="-0.29809999999999998"/>
    <n v="-180402"/>
    <n v="14053"/>
    <n v="0.9758"/>
    <n v="14402"/>
    <n v="-433279"/>
    <n v="-403008"/>
    <n v="-30271"/>
  </r>
  <r>
    <s v="ARG"/>
    <n v="3544"/>
    <n v="2208500"/>
    <n v="1840500"/>
    <n v="3276307"/>
    <n v="3196210"/>
    <n v="0.67408212966611492"/>
    <n v="0.57583825843733671"/>
    <n v="9.8199999999999996E-2"/>
    <s v="01,07,1986"/>
    <n v="0.83340000000000003"/>
    <n v="0.97560000000000002"/>
    <n v="0.85419999999999996"/>
    <n v="-2423517"/>
    <n v="-1067807"/>
    <n v="-1355710"/>
  </r>
  <r>
    <s v="BRA"/>
    <s v="55plus"/>
    <n v="7346000"/>
    <n v="6379500"/>
    <n v="10943391"/>
    <n v="11994270"/>
    <n v="0.6712727343837025"/>
    <n v="0.53187897220922986"/>
    <n v="0.1394"/>
    <n v="115857"/>
    <n v="0.86839999999999995"/>
    <n v="1096"/>
    <n v="0.7923"/>
    <n v="-9212161"/>
    <n v="-3597391"/>
    <n v="-5614770"/>
  </r>
  <r>
    <s v="AZE"/>
    <n v="4554"/>
    <n v="394000"/>
    <n v="271500"/>
    <n v="593989"/>
    <n v="640511"/>
    <n v="0.66331194685423467"/>
    <n v="0.42388030806652816"/>
    <n v="0.2394"/>
    <n v="220229"/>
    <n v="0.68910000000000005"/>
    <n v="10783"/>
    <n v="0.6391"/>
    <n v="-569000"/>
    <n v="-199989"/>
    <n v="-369011"/>
  </r>
  <r>
    <s v="AUT"/>
    <n v="2534"/>
    <n v="387500"/>
    <n v="445000"/>
    <n v="590235"/>
    <n v="561590"/>
    <n v="0.65651816649300698"/>
    <n v="0.79239302694136293"/>
    <n v="-0.13589999999999999"/>
    <n v="-93777"/>
    <n v="11484"/>
    <n v="0.95150000000000001"/>
    <n v="12069"/>
    <n v="-319325"/>
    <n v="-202735"/>
    <n v="-116590"/>
  </r>
  <r>
    <s v="NOR"/>
    <n v="2534"/>
    <n v="252500"/>
    <n v="316000"/>
    <n v="391992"/>
    <n v="373099"/>
    <n v="0.64414579889385493"/>
    <n v="0.84696019019080726"/>
    <n v="-0.20280000000000001"/>
    <n v="-136016"/>
    <n v="12515"/>
    <n v="0.95179999999999998"/>
    <n v="13149"/>
    <n v="-196591"/>
    <n v="-139492"/>
    <n v="-57099"/>
  </r>
  <r>
    <s v="CHE"/>
    <n v="2534"/>
    <n v="362500"/>
    <n v="443000"/>
    <n v="566308"/>
    <n v="541350"/>
    <n v="0.64011103498449606"/>
    <n v="0.81832455897293799"/>
    <n v="-0.1782"/>
    <n v="-122195"/>
    <n v="12221"/>
    <n v="0.95589999999999997"/>
    <n v="12785"/>
    <n v="-302158"/>
    <n v="-203808"/>
    <n v="-98350"/>
  </r>
  <r>
    <s v="NGA"/>
    <n v="2024"/>
    <n v="7410500"/>
    <n v="5137000"/>
    <n v="11610583"/>
    <n v="11187791"/>
    <n v="0.63825391024722877"/>
    <n v="0.45916124103498179"/>
    <n v="0.17910000000000001"/>
    <n v="163195"/>
    <n v="0.69320000000000004"/>
    <n v="0.96360000000000001"/>
    <n v="0.71940000000000004"/>
    <n v="-10250874"/>
    <n v="-4200083"/>
    <n v="-6050791"/>
  </r>
  <r>
    <s v="BLR"/>
    <s v="55plus"/>
    <n v="343000"/>
    <n v="399500"/>
    <n v="544392"/>
    <n v="687448"/>
    <n v="0.63006069156049316"/>
    <n v="0.58113486401880576"/>
    <n v="4.8899999999999999E-2"/>
    <n v="40395"/>
    <n v="11647"/>
    <n v="12628"/>
    <n v="0.92230000000000001"/>
    <n v="-489340"/>
    <n v="-201392"/>
    <n v="-287948"/>
  </r>
  <r>
    <s v="URY"/>
    <s v="55plus"/>
    <n v="114000"/>
    <n v="121000"/>
    <n v="181681"/>
    <n v="196211"/>
    <n v="0.62747342870195566"/>
    <n v="0.61668306058274003"/>
    <n v="1.0800000000000001E-2"/>
    <n v="0.86729999999999996"/>
    <n v="10614"/>
    <s v="01,08,2025"/>
    <n v="0.98280000000000001"/>
    <n v="-142892"/>
    <n v="-67681"/>
    <n v="-75211"/>
  </r>
  <r>
    <s v="ROU"/>
    <n v="3544"/>
    <n v="829500"/>
    <n v="910500"/>
    <n v="1328695"/>
    <n v="1246591"/>
    <n v="0.62429677239697601"/>
    <n v="0.73039192485747129"/>
    <n v="-0.1061"/>
    <n v="-78317"/>
    <n v="10976"/>
    <n v="0.93820000000000003"/>
    <n v="11699"/>
    <n v="-835286"/>
    <n v="-499195"/>
    <n v="-336091"/>
  </r>
  <r>
    <s v="MAR"/>
    <n v="4554"/>
    <n v="1396000"/>
    <n v="1644000"/>
    <n v="2253637"/>
    <n v="2264311"/>
    <n v="0.61944314900758202"/>
    <n v="0.72604867440912491"/>
    <n v="-0.1066"/>
    <n v="-79232"/>
    <n v="11777"/>
    <n v="10047"/>
    <n v="11722"/>
    <n v="-1477948"/>
    <n v="-857637"/>
    <n v="-620311"/>
  </r>
  <r>
    <s v="QAT"/>
    <n v="4554"/>
    <n v="178000"/>
    <n v="104500"/>
    <n v="288663"/>
    <n v="86784"/>
    <n v="0.61663600807862451"/>
    <n v="1.20413901179941"/>
    <n v="-0.58750000000000002"/>
    <n v="-322666"/>
    <n v="0.58709999999999996"/>
    <n v="0.30059999999999998"/>
    <n v="19531"/>
    <n v="-92947"/>
    <n v="-110663"/>
    <n v="17716"/>
  </r>
  <r>
    <s v="PAN"/>
    <s v="55plus"/>
    <n v="127500"/>
    <n v="146500"/>
    <n v="209046"/>
    <n v="218697"/>
    <n v="0.60991360753135671"/>
    <n v="0.66987658724170884"/>
    <n v="-0.06"/>
    <n v="-46854"/>
    <n v="1149"/>
    <n v="10462"/>
    <n v="10983"/>
    <n v="-153743"/>
    <n v="-81546"/>
    <n v="-72197"/>
  </r>
  <r>
    <s v="CRI"/>
    <n v="4554"/>
    <n v="189500"/>
    <n v="173000"/>
    <n v="311666"/>
    <n v="331294"/>
    <n v="0.60802269095762773"/>
    <n v="0.52219478771121719"/>
    <n v="8.5800000000000001E-2"/>
    <n v="75939"/>
    <n v="0.91290000000000004"/>
    <n v="1063"/>
    <n v="0.85880000000000001"/>
    <n v="-280460"/>
    <n v="-122166"/>
    <n v="-158294"/>
  </r>
  <r>
    <s v="USA"/>
    <n v="4554"/>
    <n v="12608500"/>
    <n v="9729000"/>
    <n v="20871095"/>
    <n v="20021867"/>
    <n v="0.60411300892454378"/>
    <n v="0.48591872076664977"/>
    <n v="0.1182"/>
    <n v="108432"/>
    <n v="0.77159999999999995"/>
    <n v="0.95930000000000004"/>
    <n v="0.80430000000000001"/>
    <n v="-18555462"/>
    <n v="-8262595"/>
    <n v="-10292867"/>
  </r>
  <r>
    <s v="CRI"/>
    <s v="55plus"/>
    <n v="163500"/>
    <n v="178000"/>
    <n v="271371"/>
    <n v="298188"/>
    <n v="0.60249621367058381"/>
    <n v="0.59693884395079611"/>
    <n v="5.5999999999999999E-3"/>
    <n v="0.46329999999999999"/>
    <n v="10887"/>
    <n v="10988"/>
    <n v="0.99080000000000001"/>
    <n v="-228059"/>
    <n v="-107871"/>
    <n v="-120188"/>
  </r>
  <r>
    <s v="DZA"/>
    <n v="3544"/>
    <n v="2246000"/>
    <n v="1133000"/>
    <n v="3751934"/>
    <n v="3549669"/>
    <n v="0.59862460267158213"/>
    <n v="0.31918469017815465"/>
    <n v="0.27939999999999998"/>
    <n v="304464"/>
    <n v="0.50449999999999995"/>
    <n v="0.94610000000000005"/>
    <n v="0.53320000000000001"/>
    <n v="-3922603"/>
    <n v="-1505934"/>
    <n v="-2416669"/>
  </r>
  <r>
    <s v="BOL"/>
    <n v="4554"/>
    <n v="358000"/>
    <n v="324000"/>
    <n v="610544"/>
    <n v="613046"/>
    <n v="0.58636232605676253"/>
    <n v="0.52850846429142351"/>
    <n v="5.79E-2"/>
    <n v="51893"/>
    <n v="0.90500000000000003"/>
    <n v="10041"/>
    <n v="0.90129999999999999"/>
    <n v="-541590"/>
    <n v="-252544"/>
    <n v="-289046"/>
  </r>
  <r>
    <s v="URY"/>
    <n v="4554"/>
    <n v="125000"/>
    <n v="106500"/>
    <n v="213867"/>
    <n v="219312"/>
    <n v="0.58447539826153638"/>
    <n v="0.48560954256949002"/>
    <n v="9.8900000000000002E-2"/>
    <n v="92391"/>
    <n v="0.85199999999999998"/>
    <n v="10255"/>
    <n v="0.83079999999999998"/>
    <n v="-201679"/>
    <n v="-88867"/>
    <n v="-112812"/>
  </r>
  <r>
    <s v="GRC"/>
    <n v="3544"/>
    <n v="366500"/>
    <n v="455000"/>
    <n v="628283"/>
    <n v="627371"/>
    <n v="0.58333585342910754"/>
    <n v="0.72524869654478774"/>
    <n v="-0.1419"/>
    <n v="-108448"/>
    <n v="12415"/>
    <n v="0.99850000000000005"/>
    <n v="12434"/>
    <n v="-434154"/>
    <n v="-261783"/>
    <n v="-172371"/>
  </r>
  <r>
    <s v="BLR"/>
    <n v="4554"/>
    <n v="352500"/>
    <n v="303500"/>
    <n v="604845"/>
    <n v="663283"/>
    <n v="0.58279393894303499"/>
    <n v="0.45757240876066474"/>
    <n v="0.12520000000000001"/>
    <n v="120363"/>
    <n v="0.86099999999999999"/>
    <n v="10966"/>
    <n v="0.78520000000000001"/>
    <n v="-612128"/>
    <n v="-252345"/>
    <n v="-359783"/>
  </r>
  <r>
    <s v="BHR"/>
    <s v="55plus"/>
    <n v="38500"/>
    <n v="31500"/>
    <n v="66067"/>
    <n v="46240"/>
    <n v="0.58274176215054418"/>
    <n v="0.68122837370242217"/>
    <n v="-9.8500000000000004E-2"/>
    <n v="-77918"/>
    <n v="0.81820000000000004"/>
    <n v="0.69989999999999997"/>
    <n v="1169"/>
    <n v="-42307"/>
    <n v="-27567"/>
    <n v="-14740"/>
  </r>
  <r>
    <s v="PRY"/>
    <s v="55plus"/>
    <n v="146500"/>
    <n v="157000"/>
    <n v="254983"/>
    <n v="273861"/>
    <n v="0.57454810712871052"/>
    <n v="0.57328352704474173"/>
    <n v="1.2999999999999999E-3"/>
    <n v="0.11020000000000001"/>
    <n v="10717"/>
    <n v="1074"/>
    <n v="0.99790000000000001"/>
    <n v="-225344"/>
    <n v="-108483"/>
    <n v="-116861"/>
  </r>
  <r>
    <s v="PAN"/>
    <n v="4554"/>
    <n v="150500"/>
    <n v="137500"/>
    <n v="267375"/>
    <n v="269646"/>
    <n v="0.56287985039738198"/>
    <n v="0.50992783130474773"/>
    <n v="5.2999999999999999E-2"/>
    <n v="49358"/>
    <n v="0.91359999999999997"/>
    <n v="10085"/>
    <n v="0.90590000000000004"/>
    <n v="-249021"/>
    <n v="-116875"/>
    <n v="-132146"/>
  </r>
  <r>
    <s v="DOM"/>
    <s v="55plus"/>
    <n v="264000"/>
    <n v="240500"/>
    <n v="470565"/>
    <n v="514069"/>
    <n v="0.56102770074272412"/>
    <n v="0.46783602979366584"/>
    <n v="9.3200000000000005E-2"/>
    <n v="90577"/>
    <n v="0.91100000000000003"/>
    <n v="10925"/>
    <n v="0.83389999999999997"/>
    <n v="-480134"/>
    <n v="-206565"/>
    <n v="-273569"/>
  </r>
  <r>
    <s v="PRY"/>
    <n v="4554"/>
    <n v="188000"/>
    <n v="153000"/>
    <n v="339861"/>
    <n v="340377"/>
    <n v="0.55316732428845905"/>
    <n v="0.44950158206929375"/>
    <n v="0.1037"/>
    <n v="10339"/>
    <n v="0.81379999999999997"/>
    <n v="10015"/>
    <n v="0.81259999999999999"/>
    <n v="-339238"/>
    <n v="-151861"/>
    <n v="-187377"/>
  </r>
  <r>
    <s v="BRA"/>
    <n v="4554"/>
    <n v="7628500"/>
    <n v="5901000"/>
    <n v="13925202"/>
    <n v="14620117"/>
    <n v="0.54781970128691848"/>
    <n v="0.40362194091880388"/>
    <n v="0.14419999999999999"/>
    <n v="151557"/>
    <n v="0.77349999999999997"/>
    <n v="10499"/>
    <n v="0.73670000000000002"/>
    <n v="-15015819"/>
    <n v="-6296702"/>
    <n v="-8719117"/>
  </r>
  <r>
    <s v="MEX"/>
    <n v="4554"/>
    <n v="3848000"/>
    <n v="3477500"/>
    <n v="7065494"/>
    <n v="8389238"/>
    <n v="0.54461867775982831"/>
    <n v="0.41451917325506799"/>
    <n v="0.13009999999999999"/>
    <n v="135642"/>
    <n v="0.90369999999999995"/>
    <n v="11874"/>
    <n v="0.7611"/>
    <n v="-8129232"/>
    <n v="-3217494"/>
    <n v="-4911738"/>
  </r>
  <r>
    <s v="DNK"/>
    <n v="2534"/>
    <n v="224000"/>
    <n v="291500"/>
    <n v="413938"/>
    <n v="398620"/>
    <n v="0.54114384279771366"/>
    <n v="0.73127289147559082"/>
    <n v="-0.19009999999999999"/>
    <n v="-149424"/>
    <n v="13013"/>
    <n v="0.96299999999999997"/>
    <n v="13513"/>
    <n v="-297058"/>
    <n v="-189938"/>
    <n v="-107120"/>
  </r>
  <r>
    <s v="MEX"/>
    <s v="55plus"/>
    <n v="2883000"/>
    <n v="3001500"/>
    <n v="5385968"/>
    <n v="6382383"/>
    <n v="0.53527982342264191"/>
    <n v="0.47027889112890908"/>
    <n v="6.5000000000000002E-2"/>
    <n v="64642"/>
    <n v="10411"/>
    <n v="1185"/>
    <n v="0.87860000000000005"/>
    <n v="-5883851"/>
    <n v="-2502968"/>
    <n v="-3380883"/>
  </r>
  <r>
    <s v="KWT"/>
    <n v="4554"/>
    <n v="290500"/>
    <n v="220500"/>
    <n v="542936"/>
    <n v="287548"/>
    <n v="0.53505385533469874"/>
    <n v="0.76682849472088144"/>
    <n v="-0.23180000000000001"/>
    <n v="-17803"/>
    <n v="0.75900000000000001"/>
    <n v="0.52959999999999996"/>
    <n v="14332"/>
    <n v="-319484"/>
    <n v="-252436"/>
    <n v="-67048"/>
  </r>
  <r>
    <s v="ROU"/>
    <s v="55plus"/>
    <n v="625500"/>
    <n v="911500"/>
    <n v="1190989"/>
    <n v="1282126"/>
    <n v="0.52519376753269764"/>
    <n v="0.71092856708311036"/>
    <n v="-0.1857"/>
    <n v="-150256"/>
    <n v="14572"/>
    <n v="10765"/>
    <n v="13536"/>
    <n v="-936115"/>
    <n v="-565489"/>
    <n v="-370626"/>
  </r>
  <r>
    <s v="BHR"/>
    <n v="3544"/>
    <n v="146000"/>
    <n v="86500"/>
    <n v="279596"/>
    <n v="116529"/>
    <n v="0.52218200546502813"/>
    <n v="0.74230449072763005"/>
    <n v="-0.22009999999999999"/>
    <n v="-174081"/>
    <n v="0.59250000000000003"/>
    <n v="0.4168"/>
    <n v="14215"/>
    <n v="-163625"/>
    <n v="-133596"/>
    <n v="-30029"/>
  </r>
  <r>
    <s v="CZE"/>
    <n v="2534"/>
    <n v="309500"/>
    <n v="414000"/>
    <n v="601844"/>
    <n v="565834"/>
    <n v="0.51425286286811867"/>
    <n v="0.73166335002845362"/>
    <n v="-0.21740000000000001"/>
    <n v="-174498"/>
    <n v="13376"/>
    <n v="0.94020000000000004"/>
    <n v="14227"/>
    <n v="-444178"/>
    <n v="-292344"/>
    <n v="-151834"/>
  </r>
  <r>
    <s v="GTM"/>
    <n v="4554"/>
    <n v="373000"/>
    <n v="321500"/>
    <n v="727927"/>
    <n v="799820"/>
    <n v="0.5124140195376734"/>
    <n v="0.40196544222450054"/>
    <n v="0.1104"/>
    <n v="120791"/>
    <n v="0.8619"/>
    <n v="10988"/>
    <n v="0.78439999999999999"/>
    <n v="-833247"/>
    <n v="-354927"/>
    <n v="-478320"/>
  </r>
  <r>
    <s v="ARG"/>
    <s v="55plus"/>
    <n v="1026000"/>
    <n v="1086000"/>
    <n v="2077631"/>
    <n v="2179699"/>
    <n v="0.49383167655854193"/>
    <n v="0.49823393046471093"/>
    <n v="-4.4000000000000003E-3"/>
    <n v="-0.44369999999999998"/>
    <n v="10585"/>
    <n v="10491"/>
    <n v="1009"/>
    <n v="-2145330"/>
    <n v="-1051631"/>
    <n v="-1093699"/>
  </r>
  <r>
    <s v="DOM"/>
    <n v="4554"/>
    <n v="306000"/>
    <n v="237500"/>
    <n v="622262"/>
    <n v="641165"/>
    <n v="0.49175427713728304"/>
    <n v="0.37041947080704657"/>
    <n v="0.12130000000000001"/>
    <n v="140731"/>
    <n v="0.77610000000000001"/>
    <n v="10304"/>
    <n v="0.75319999999999998"/>
    <n v="-719927"/>
    <n v="-316262"/>
    <n v="-403665"/>
  </r>
  <r>
    <s v="ESP"/>
    <n v="3544"/>
    <n v="1554000"/>
    <n v="2381500"/>
    <n v="3162322"/>
    <n v="3133224"/>
    <n v="0.49141105807694474"/>
    <n v="0.76007971341978742"/>
    <n v="-0.26869999999999999"/>
    <n v="-214679"/>
    <n v="15325"/>
    <n v="0.99080000000000001"/>
    <n v="15467"/>
    <n v="-2360046"/>
    <n v="-1608322"/>
    <n v="-751724"/>
  </r>
  <r>
    <s v="ARG"/>
    <n v="4554"/>
    <n v="1342000"/>
    <n v="1186000"/>
    <n v="2835394"/>
    <n v="2825516"/>
    <n v="0.47330282846052435"/>
    <n v="0.41974634013751827"/>
    <n v="5.3600000000000002E-2"/>
    <n v="5997"/>
    <n v="0.88380000000000003"/>
    <n v="0.99650000000000005"/>
    <n v="0.88690000000000002"/>
    <n v="-3132910"/>
    <n v="-1493394"/>
    <n v="-1639516"/>
  </r>
  <r>
    <s v="PRT"/>
    <n v="3544"/>
    <n v="292500"/>
    <n v="418000"/>
    <n v="619293"/>
    <n v="645261"/>
    <n v="0.47231278247937569"/>
    <n v="0.64779988252815524"/>
    <n v="-0.17549999999999999"/>
    <n v="-156669"/>
    <n v="14291"/>
    <n v="10419"/>
    <n v="13716"/>
    <n v="-554054"/>
    <n v="-326793"/>
    <n v="-227261"/>
  </r>
  <r>
    <s v="FRA"/>
    <n v="3544"/>
    <n v="1897500"/>
    <n v="2414000"/>
    <n v="4026014"/>
    <n v="4204429"/>
    <n v="0.47130983647846231"/>
    <n v="0.5741564431222409"/>
    <n v="-0.1028"/>
    <n v="-98374"/>
    <n v="12722"/>
    <n v="10443"/>
    <n v="12182"/>
    <n v="-3918943"/>
    <n v="-2128514"/>
    <n v="-1790429"/>
  </r>
  <r>
    <s v="IRL"/>
    <n v="3544"/>
    <n v="167500"/>
    <n v="253000"/>
    <n v="363455"/>
    <n v="388299"/>
    <n v="0.46085485135711435"/>
    <n v="0.65155975163469393"/>
    <n v="-0.19070000000000001"/>
    <n v="-171433"/>
    <n v="15104"/>
    <n v="10684"/>
    <n v="14137"/>
    <n v="-331254"/>
    <n v="-195955"/>
    <n v="-135299"/>
  </r>
  <r>
    <s v="KEN"/>
    <n v="3544"/>
    <n v="1550500"/>
    <n v="820500"/>
    <n v="3385955"/>
    <n v="3330779"/>
    <n v="0.45792102966519049"/>
    <n v="0.24633876939899044"/>
    <n v="0.21160000000000001"/>
    <n v="300432"/>
    <n v="0.5292"/>
    <n v="0.98370000000000002"/>
    <n v="0.53800000000000003"/>
    <n v="-4345734"/>
    <n v="-1835455"/>
    <n v="-2510279"/>
  </r>
  <r>
    <s v="ROU"/>
    <n v="4554"/>
    <n v="677000"/>
    <n v="804000"/>
    <n v="1487382"/>
    <n v="1448788"/>
    <n v="0.45516215740139387"/>
    <n v="0.55494661744851559"/>
    <n v="-9.98E-2"/>
    <n v="-98786"/>
    <n v="11876"/>
    <n v="0.97409999999999997"/>
    <n v="12192"/>
    <n v="-1455170"/>
    <n v="-810382"/>
    <n v="-644788"/>
  </r>
  <r>
    <s v="GBR"/>
    <n v="3544"/>
    <n v="2045000"/>
    <n v="3314000"/>
    <n v="4514570"/>
    <n v="4593123"/>
    <n v="0.4529778029801288"/>
    <n v="0.72151344520928351"/>
    <n v="-0.26850000000000002"/>
    <n v="-22864"/>
    <n v="16205"/>
    <n v="10174"/>
    <n v="15928"/>
    <n v="-3748693"/>
    <n v="-2469570"/>
    <n v="-1279123"/>
  </r>
  <r>
    <s v="ITA"/>
    <n v="3544"/>
    <n v="1564000"/>
    <n v="2003000"/>
    <n v="3461335"/>
    <n v="3405962"/>
    <n v="0.45184878088945452"/>
    <n v="0.5880864202243008"/>
    <n v="-0.13619999999999999"/>
    <n v="-131006"/>
    <n v="12807"/>
    <n v="0.98399999999999999"/>
    <n v="13015"/>
    <n v="-3300297"/>
    <n v="-1897335"/>
    <n v="-1402962"/>
  </r>
  <r>
    <s v="CAN"/>
    <n v="3544"/>
    <n v="1264000"/>
    <n v="1105000"/>
    <n v="2850448"/>
    <n v="2810293"/>
    <n v="0.44343906642043635"/>
    <n v="0.39319743528521761"/>
    <n v="5.0200000000000002E-2"/>
    <n v="60052"/>
    <n v="0.87419999999999998"/>
    <n v="0.9859"/>
    <n v="0.88670000000000004"/>
    <n v="-3291741"/>
    <n v="-1586448"/>
    <n v="-1705293"/>
  </r>
  <r>
    <s v="GRC"/>
    <s v="55plus"/>
    <n v="290500"/>
    <n v="424000"/>
    <n v="696290"/>
    <n v="780361"/>
    <n v="0.4172112194631547"/>
    <n v="0.54333827549044611"/>
    <n v="-0.12609999999999999"/>
    <n v="-131307"/>
    <n v="14596"/>
    <n v="11207"/>
    <n v="13024"/>
    <n v="-762151"/>
    <n v="-405790"/>
    <n v="-356361"/>
  </r>
  <r>
    <s v="BHR"/>
    <n v="4554"/>
    <n v="60500"/>
    <n v="41500"/>
    <n v="146449"/>
    <n v="75399"/>
    <n v="0.41311309739226626"/>
    <n v="0.55040517778750386"/>
    <n v="-0.13730000000000001"/>
    <n v="-14249"/>
    <n v="0.68600000000000005"/>
    <n v="0.51480000000000004"/>
    <n v="13326"/>
    <n v="-119848"/>
    <n v="-85949"/>
    <n v="-33899"/>
  </r>
  <r>
    <s v="HUN"/>
    <n v="3544"/>
    <n v="264000"/>
    <n v="314000"/>
    <n v="641074"/>
    <n v="610664"/>
    <n v="0.41180893313408434"/>
    <n v="0.51419438512831939"/>
    <n v="-0.1024"/>
    <n v="-110567"/>
    <n v="11894"/>
    <n v="0.9526"/>
    <n v="12486"/>
    <n v="-673738"/>
    <n v="-377074"/>
    <n v="-296664"/>
  </r>
  <r>
    <s v="GRC"/>
    <n v="4554"/>
    <n v="316000"/>
    <n v="409500"/>
    <n v="768642"/>
    <n v="794509"/>
    <n v="0.41111466716624906"/>
    <n v="0.51541266367026684"/>
    <n v="-0.1043"/>
    <n v="-112569"/>
    <n v="12959"/>
    <n v="10337"/>
    <n v="12537"/>
    <n v="-837651"/>
    <n v="-452642"/>
    <n v="-385009"/>
  </r>
  <r>
    <s v="BEL"/>
    <n v="3544"/>
    <n v="307500"/>
    <n v="386000"/>
    <n v="765320"/>
    <n v="768467"/>
    <n v="0.40179271415878326"/>
    <n v="0.50229873241141132"/>
    <n v="-0.10050000000000001"/>
    <n v="-111168"/>
    <n v="12553"/>
    <n v="10041"/>
    <n v="12502"/>
    <n v="-840287"/>
    <n v="-457820"/>
    <n v="-382467"/>
  </r>
  <r>
    <s v="PAK"/>
    <n v="3544"/>
    <n v="5797000"/>
    <n v="2273000"/>
    <n v="14642574"/>
    <n v="14248505"/>
    <n v="0.39590033828751692"/>
    <n v="0.15952550811471097"/>
    <n v="0.2364"/>
    <n v="425574"/>
    <n v="0.3921"/>
    <n v="0.97309999999999997"/>
    <n v="0.40289999999999998"/>
    <n v="-20821079"/>
    <n v="-8845574"/>
    <n v="-11975505"/>
  </r>
  <r>
    <s v="ITA"/>
    <s v="55plus"/>
    <n v="1723500"/>
    <n v="2472500"/>
    <n v="4509966"/>
    <n v="4720643"/>
    <n v="0.38215365703422155"/>
    <n v="0.52376339409694828"/>
    <n v="-0.1416"/>
    <n v="-156316"/>
    <n v="14346"/>
    <n v="10467"/>
    <n v="13706"/>
    <n v="-5034609"/>
    <n v="-2786466"/>
    <n v="-2248143"/>
  </r>
  <r>
    <s v="NGA"/>
    <n v="3544"/>
    <n v="4668000"/>
    <n v="2079000"/>
    <n v="12236486"/>
    <n v="11920962"/>
    <n v="0.38148206928034734"/>
    <n v="0.17439867688530505"/>
    <n v="0.20710000000000001"/>
    <n v="372532"/>
    <n v="0.44540000000000002"/>
    <n v="0.97419999999999995"/>
    <n v="0.4572"/>
    <n v="-17410448"/>
    <n v="-7568486"/>
    <n v="-9841962"/>
  </r>
  <r>
    <s v="ESP"/>
    <n v="4554"/>
    <n v="1496000"/>
    <n v="2445000"/>
    <n v="4020627"/>
    <n v="3927757"/>
    <n v="0.37208126991138446"/>
    <n v="0.62249268475621078"/>
    <n v="-0.25040000000000001"/>
    <n v="-251778"/>
    <n v="16344"/>
    <n v="0.97689999999999999"/>
    <n v="1673"/>
    <n v="-4007384"/>
    <n v="-2524627"/>
    <n v="-1482757"/>
  </r>
  <r>
    <s v="PRI"/>
    <n v="2534"/>
    <n v="72500"/>
    <n v="50500"/>
    <n v="197653"/>
    <n v="204409"/>
    <n v="0.36680445022337127"/>
    <n v="0.24705370115797248"/>
    <n v="0.1198"/>
    <n v="195079"/>
    <n v="0.6966"/>
    <n v="10342"/>
    <n v="0.67359999999999998"/>
    <n v="-279062"/>
    <n v="-125153"/>
    <n v="-153909"/>
  </r>
  <r>
    <s v="IRL"/>
    <n v="4554"/>
    <n v="141500"/>
    <n v="213000"/>
    <n v="388711"/>
    <n v="400950"/>
    <n v="0.36402365767884109"/>
    <n v="0.53123830901608682"/>
    <n v="-0.16719999999999999"/>
    <n v="-186777"/>
    <n v="15053"/>
    <n v="10315"/>
    <n v="14593"/>
    <n v="-435161"/>
    <n v="-247211"/>
    <n v="-187950"/>
  </r>
  <r>
    <s v="ITA"/>
    <n v="4554"/>
    <n v="1584500"/>
    <n v="2128500"/>
    <n v="4366674"/>
    <n v="4403431"/>
    <n v="0.36286198603330588"/>
    <n v="0.48337307885601022"/>
    <n v="-0.1205"/>
    <n v="-142409"/>
    <n v="13433"/>
    <n v="10084"/>
    <n v="13321"/>
    <n v="-5057105"/>
    <n v="-2782174"/>
    <n v="-2274931"/>
  </r>
  <r>
    <s v="ESP"/>
    <s v="55plus"/>
    <n v="1276000"/>
    <n v="2431500"/>
    <n v="3536348"/>
    <n v="3649198"/>
    <n v="0.36082421752610322"/>
    <n v="0.66631078938440724"/>
    <n v="-0.30549999999999999"/>
    <n v="-297416"/>
    <n v="19056"/>
    <n v="10319"/>
    <n v="18467"/>
    <n v="-3478046"/>
    <n v="-2260348"/>
    <n v="-1217698"/>
  </r>
  <r>
    <s v="DEU"/>
    <n v="3544"/>
    <n v="1980500"/>
    <n v="2303000"/>
    <n v="5511583"/>
    <n v="5285695"/>
    <n v="0.3593341513681278"/>
    <n v="0.43570429243458053"/>
    <n v="-7.6399999999999996E-2"/>
    <n v="-96058"/>
    <n v="11628"/>
    <n v="0.95899999999999996"/>
    <n v="12125"/>
    <n v="-6513778"/>
    <n v="-3531083"/>
    <n v="-2982695"/>
  </r>
  <r>
    <s v="DZA"/>
    <s v="55plus"/>
    <n v="694000"/>
    <n v="528500"/>
    <n v="1966482"/>
    <n v="1885826"/>
    <n v="0.35291449400503028"/>
    <n v="0.28024854891172357"/>
    <n v="7.2700000000000001E-2"/>
    <n v="114767"/>
    <n v="0.76149999999999995"/>
    <n v="0.95899999999999996"/>
    <n v="0.79410000000000003"/>
    <n v="-2629808"/>
    <n v="-1272482"/>
    <n v="-1357326"/>
  </r>
  <r>
    <s v="LKA"/>
    <n v="3544"/>
    <n v="501500"/>
    <n v="252500"/>
    <n v="1451780"/>
    <n v="1567175"/>
    <n v="0.34543801402416346"/>
    <n v="0.16111793513806691"/>
    <n v="0.18429999999999999"/>
    <n v="363869"/>
    <n v="0.50349999999999995"/>
    <n v="10795"/>
    <n v="0.46639999999999998"/>
    <n v="-2264955"/>
    <n v="-950280"/>
    <n v="-1314675"/>
  </r>
  <r>
    <s v="NLD"/>
    <n v="3544"/>
    <n v="393000"/>
    <n v="558500"/>
    <n v="1145215"/>
    <n v="1127310"/>
    <n v="0.34316700357574781"/>
    <n v="0.49542716732753189"/>
    <n v="-0.15229999999999999"/>
    <n v="-181566"/>
    <n v="14211"/>
    <n v="0.98440000000000005"/>
    <n v="14436"/>
    <n v="-1321025"/>
    <n v="-752215"/>
    <n v="-568810"/>
  </r>
  <r>
    <s v="IRL"/>
    <s v="55plus"/>
    <n v="104000"/>
    <n v="153500"/>
    <n v="310927"/>
    <n v="319581"/>
    <n v="0.33448365693555077"/>
    <n v="0.48031641430498057"/>
    <n v="-0.14580000000000001"/>
    <n v="-17898"/>
    <n v="1476"/>
    <n v="10278"/>
    <n v="14361"/>
    <n v="-373008"/>
    <n v="-206927"/>
    <n v="-166081"/>
  </r>
  <r>
    <s v="OMN"/>
    <s v="55plus"/>
    <n v="46000"/>
    <n v="36500"/>
    <n v="138068"/>
    <n v="87478"/>
    <n v="0.33316916302112004"/>
    <n v="0.41724776515238116"/>
    <n v="-8.4099999999999994E-2"/>
    <n v="-112043"/>
    <n v="0.79349999999999998"/>
    <n v="0.63360000000000005"/>
    <n v="12524"/>
    <n v="-143046"/>
    <n v="-92068"/>
    <n v="-50978"/>
  </r>
  <r>
    <s v="POL"/>
    <n v="3544"/>
    <n v="980500"/>
    <n v="1268000"/>
    <n v="2975259"/>
    <n v="2886246"/>
    <n v="0.32955114159809279"/>
    <n v="0.43932499170202399"/>
    <n v="-0.10979999999999999"/>
    <n v="-142772"/>
    <n v="12932"/>
    <n v="0.97009999999999996"/>
    <n v="13331"/>
    <n v="-3613005"/>
    <n v="-1994759"/>
    <n v="-1618246"/>
  </r>
  <r>
    <s v="GBR"/>
    <n v="4554"/>
    <n v="1367500"/>
    <n v="2178500"/>
    <n v="4263887"/>
    <n v="4360763"/>
    <n v="0.32071675445432768"/>
    <n v="0.4995685388084608"/>
    <n v="-0.1789"/>
    <n v="-218036"/>
    <n v="15931"/>
    <n v="10227"/>
    <n v="15577"/>
    <n v="-5078650"/>
    <n v="-2896387"/>
    <n v="-2182263"/>
  </r>
  <r>
    <s v="NOR"/>
    <n v="3544"/>
    <n v="123500"/>
    <n v="155000"/>
    <n v="387815"/>
    <n v="372154"/>
    <n v="0.31845080773049006"/>
    <n v="0.41649424700527199"/>
    <n v="-9.8000000000000004E-2"/>
    <n v="-133402"/>
    <n v="12551"/>
    <n v="0.95960000000000001"/>
    <n v="13079"/>
    <n v="-481469"/>
    <n v="-264315"/>
    <n v="-217154"/>
  </r>
  <r>
    <s v="AUT"/>
    <n v="3544"/>
    <n v="197500"/>
    <n v="220500"/>
    <n v="633253"/>
    <n v="618578"/>
    <n v="0.3118816649901382"/>
    <n v="0.3564627258001416"/>
    <n v="-4.4600000000000001E-2"/>
    <n v="-66704"/>
    <n v="11165"/>
    <n v="0.9768"/>
    <n v="1143"/>
    <n v="-833831"/>
    <n v="-435753"/>
    <n v="-398078"/>
  </r>
  <r>
    <s v="FRA"/>
    <n v="4554"/>
    <n v="1333000"/>
    <n v="1766000"/>
    <n v="4281636"/>
    <n v="4374865"/>
    <n v="0.31132959457553139"/>
    <n v="0.40366959894762466"/>
    <n v="-9.2299999999999993E-2"/>
    <n v="-129147"/>
    <n v="13248"/>
    <n v="10218"/>
    <n v="12965"/>
    <n v="-5557501"/>
    <n v="-2948636"/>
    <n v="-2608865"/>
  </r>
  <r>
    <s v="SWE"/>
    <n v="3544"/>
    <n v="226000"/>
    <n v="283000"/>
    <n v="726065"/>
    <n v="688016"/>
    <n v="0.31126689759181342"/>
    <n v="0.41132764354317342"/>
    <n v="-0.10009999999999999"/>
    <n v="-138474"/>
    <n v="12522"/>
    <n v="0.9476"/>
    <n v="13214"/>
    <n v="-905081"/>
    <n v="-500065"/>
    <n v="-405016"/>
  </r>
  <r>
    <s v="CAN"/>
    <n v="4554"/>
    <n v="767000"/>
    <n v="673500"/>
    <n v="2494459"/>
    <n v="2545411"/>
    <n v="0.30748150200103508"/>
    <n v="0.26459381215842942"/>
    <n v="4.2900000000000001E-2"/>
    <n v="74969"/>
    <n v="0.87809999999999999"/>
    <n v="10204"/>
    <n v="0.86050000000000004"/>
    <n v="-3599370"/>
    <n v="-1727459"/>
    <n v="-1871911"/>
  </r>
  <r>
    <s v="CHE"/>
    <n v="3544"/>
    <n v="198500"/>
    <n v="224000"/>
    <n v="645772"/>
    <n v="632669"/>
    <n v="0.30738403027693983"/>
    <n v="0.35405559621223737"/>
    <n v="-4.6699999999999998E-2"/>
    <n v="-70561"/>
    <n v="11285"/>
    <n v="0.97970000000000002"/>
    <n v="11519"/>
    <n v="-855941"/>
    <n v="-447272"/>
    <n v="-408669"/>
  </r>
  <r>
    <s v="PRT"/>
    <n v="4554"/>
    <n v="232000"/>
    <n v="367500"/>
    <n v="761873"/>
    <n v="830650"/>
    <n v="0.30451269437294665"/>
    <n v="0.44242460723529764"/>
    <n v="-0.13789999999999999"/>
    <n v="-184637"/>
    <n v="15841"/>
    <n v="10903"/>
    <n v="14529"/>
    <n v="-993023"/>
    <n v="-529873"/>
    <n v="-463150"/>
  </r>
  <r>
    <s v="NGA"/>
    <s v="55plus"/>
    <n v="1485000"/>
    <n v="887500"/>
    <n v="4902912"/>
    <n v="5041940"/>
    <n v="0.30288122650375937"/>
    <n v="0.17602351475820815"/>
    <n v="0.12690000000000001"/>
    <n v="264891"/>
    <n v="0.59760000000000002"/>
    <n v="10284"/>
    <n v="0.58109999999999995"/>
    <n v="-7572352"/>
    <n v="-3417912"/>
    <n v="-4154440"/>
  </r>
  <r>
    <s v="HUN"/>
    <n v="4554"/>
    <n v="236000"/>
    <n v="297000"/>
    <n v="780998"/>
    <n v="772498"/>
    <n v="0.30217747036484088"/>
    <n v="0.38446701480133283"/>
    <n v="-8.2299999999999998E-2"/>
    <n v="-119843"/>
    <n v="12585"/>
    <n v="0.98909999999999998"/>
    <n v="12724"/>
    <n v="-1020496"/>
    <n v="-544998"/>
    <n v="-475498"/>
  </r>
  <r>
    <s v="DZA"/>
    <n v="4554"/>
    <n v="871000"/>
    <n v="499000"/>
    <n v="2902978"/>
    <n v="2760633"/>
    <n v="0.30003672091211164"/>
    <n v="0.18075564553491899"/>
    <n v="0.1193"/>
    <n v="248093"/>
    <n v="0.57289999999999996"/>
    <n v="0.95099999999999996"/>
    <n v="0.60240000000000005"/>
    <n v="-4293611"/>
    <n v="-2031978"/>
    <n v="-2261633"/>
  </r>
  <r>
    <s v="OMN"/>
    <n v="3544"/>
    <n v="252500"/>
    <n v="117000"/>
    <n v="847017"/>
    <n v="368042"/>
    <n v="0.29810499671199042"/>
    <n v="0.31789850071459236"/>
    <n v="-1.9800000000000002E-2"/>
    <n v="-32132"/>
    <n v="0.46339999999999998"/>
    <n v="0.4345"/>
    <n v="10665"/>
    <n v="-845559"/>
    <n v="-594517"/>
    <n v="-251042"/>
  </r>
  <r>
    <s v="PRI"/>
    <n v="3544"/>
    <n v="52500"/>
    <n v="42500"/>
    <n v="177211"/>
    <n v="198007"/>
    <n v="0.29625700436203173"/>
    <n v="0.21463887640335949"/>
    <n v="8.1600000000000006E-2"/>
    <n v="159755"/>
    <n v="0.8095"/>
    <n v="11174"/>
    <n v="0.72440000000000004"/>
    <n v="-280218"/>
    <n v="-124711"/>
    <n v="-155507"/>
  </r>
  <r>
    <s v="GBR"/>
    <s v="55plus"/>
    <n v="1240500"/>
    <n v="2004000"/>
    <n v="4199397"/>
    <n v="4564101"/>
    <n v="0.29539955379308031"/>
    <n v="0.43907880215621869"/>
    <n v="-0.14369999999999999"/>
    <n v="-195621"/>
    <n v="16155"/>
    <n v="10868"/>
    <n v="14865"/>
    <n v="-5518998"/>
    <n v="-2958897"/>
    <n v="-2560101"/>
  </r>
  <r>
    <s v="KEN"/>
    <s v="55plus"/>
    <n v="364000"/>
    <n v="312500"/>
    <n v="1248806"/>
    <n v="1324462"/>
    <n v="0.29147842018696257"/>
    <n v="0.23594485912015595"/>
    <n v="5.5500000000000001E-2"/>
    <n v="105292"/>
    <n v="0.85850000000000004"/>
    <n v="10606"/>
    <n v="0.80940000000000001"/>
    <n v="-1896768"/>
    <n v="-884806"/>
    <n v="-1011962"/>
  </r>
  <r>
    <s v="HUN"/>
    <s v="55plus"/>
    <n v="162000"/>
    <n v="229500"/>
    <n v="560855"/>
    <n v="612052"/>
    <n v="0.28884471030836845"/>
    <n v="0.37496813996196404"/>
    <n v="-8.6099999999999996E-2"/>
    <n v="-129741"/>
    <n v="14167"/>
    <n v="10913"/>
    <n v="12982"/>
    <n v="-781407"/>
    <n v="-398855"/>
    <n v="-382552"/>
  </r>
  <r>
    <s v="PAK"/>
    <s v="55plus"/>
    <n v="1932000"/>
    <n v="915000"/>
    <n v="6695295"/>
    <n v="6946714"/>
    <n v="0.28856084758027839"/>
    <n v="0.13171695279235621"/>
    <n v="0.15679999999999999"/>
    <n v="373191"/>
    <n v="0.47360000000000002"/>
    <n v="10376"/>
    <n v="0.45639999999999997"/>
    <n v="-10795009"/>
    <n v="-4763295"/>
    <n v="-6031714"/>
  </r>
  <r>
    <s v="FIN"/>
    <n v="3544"/>
    <n v="107500"/>
    <n v="137500"/>
    <n v="377436"/>
    <n v="352895"/>
    <n v="0.28481649869116882"/>
    <n v="0.38963431048895564"/>
    <n v="-0.1048"/>
    <n v="-155412"/>
    <n v="12791"/>
    <n v="0.93500000000000005"/>
    <n v="1368"/>
    <n v="-485331"/>
    <n v="-269936"/>
    <n v="-215395"/>
  </r>
  <r>
    <s v="PRI"/>
    <n v="2024"/>
    <n v="29500"/>
    <n v="37500"/>
    <n v="104269"/>
    <n v="99859"/>
    <n v="0.28292205737083886"/>
    <n v="0.37552949659019219"/>
    <n v="-9.2600000000000002E-2"/>
    <n v="-140644"/>
    <n v="12712"/>
    <n v="0.9577"/>
    <n v="13273"/>
    <n v="-137128"/>
    <n v="-74769"/>
    <n v="-62359"/>
  </r>
  <r>
    <s v="KEN"/>
    <n v="4554"/>
    <n v="607000"/>
    <n v="351500"/>
    <n v="2165767"/>
    <n v="2135874"/>
    <n v="0.28027022297412418"/>
    <n v="0.16456963285287429"/>
    <n v="0.1157"/>
    <n v="260095"/>
    <n v="0.57909999999999995"/>
    <n v="0.98619999999999997"/>
    <n v="0.58720000000000006"/>
    <n v="-3343141"/>
    <n v="-1558767"/>
    <n v="-1784374"/>
  </r>
  <r>
    <s v="BEL"/>
    <n v="4554"/>
    <n v="212000"/>
    <n v="268500"/>
    <n v="768275"/>
    <n v="758759"/>
    <n v="0.27594285900231036"/>
    <n v="0.35386730173876024"/>
    <n v="-7.7899999999999997E-2"/>
    <n v="-123727"/>
    <n v="12665"/>
    <n v="0.98760000000000003"/>
    <n v="12824"/>
    <n v="-1046534"/>
    <n v="-556275"/>
    <n v="-490259"/>
  </r>
  <r>
    <s v="NLD"/>
    <n v="4554"/>
    <n v="301500"/>
    <n v="469500"/>
    <n v="1096492"/>
    <n v="1106190"/>
    <n v="0.27496780642266427"/>
    <n v="0.42442979958235022"/>
    <n v="-0.14949999999999999"/>
    <n v="-213701"/>
    <n v="15572"/>
    <n v="10088"/>
    <n v="15436"/>
    <n v="-1431682"/>
    <n v="-794992"/>
    <n v="-636690"/>
  </r>
  <r>
    <s v="DEU"/>
    <n v="4554"/>
    <n v="1335000"/>
    <n v="1626000"/>
    <n v="5060644"/>
    <n v="5041698"/>
    <n v="0.2638004174962712"/>
    <n v="0.32251039233210715"/>
    <n v="-5.8700000000000002E-2"/>
    <n v="-100135"/>
    <n v="1218"/>
    <n v="0.99629999999999996"/>
    <n v="12225"/>
    <n v="-7141342"/>
    <n v="-3725644"/>
    <n v="-3415698"/>
  </r>
  <r>
    <s v="FRA"/>
    <s v="55plus"/>
    <n v="1090500"/>
    <n v="1580500"/>
    <n v="4174183"/>
    <n v="4481437"/>
    <n v="0.26124872819423584"/>
    <n v="0.35267705425737322"/>
    <n v="-9.1399999999999995E-2"/>
    <n v="-148924"/>
    <n v="14493"/>
    <n v="10736"/>
    <n v="13499"/>
    <n v="-5984620"/>
    <n v="-3083683"/>
    <n v="-2900937"/>
  </r>
  <r>
    <s v="BGD"/>
    <n v="3544"/>
    <n v="2935000"/>
    <n v="1189000"/>
    <n v="11629997"/>
    <n v="12757105"/>
    <n v="0.25236463947497151"/>
    <n v="9.3202964152133264E-2"/>
    <n v="0.15920000000000001"/>
    <n v="46058"/>
    <n v="0.40510000000000002"/>
    <n v="10969"/>
    <n v="0.36930000000000002"/>
    <n v="-20263102"/>
    <n v="-8694997"/>
    <n v="-11568105"/>
  </r>
  <r>
    <s v="PRI"/>
    <s v="55plus"/>
    <n v="50500"/>
    <n v="30500"/>
    <n v="204418"/>
    <n v="240955"/>
    <n v="0.24704282401745442"/>
    <n v="0.12657965180220374"/>
    <n v="0.1205"/>
    <n v="32242"/>
    <n v="0.60399999999999998"/>
    <n v="11787"/>
    <n v="0.51239999999999997"/>
    <n v="-364373"/>
    <n v="-153918"/>
    <n v="-210455"/>
  </r>
  <r>
    <s v="PRT"/>
    <s v="55plus"/>
    <n v="172000"/>
    <n v="304000"/>
    <n v="697716"/>
    <n v="795902"/>
    <n v="0.24651864082234032"/>
    <n v="0.38195657254285076"/>
    <n v="-0.13539999999999999"/>
    <n v="-215502"/>
    <n v="17674"/>
    <n v="11407"/>
    <n v="15494"/>
    <n v="-1017618"/>
    <n v="-525716"/>
    <n v="-491902"/>
  </r>
  <r>
    <s v="CAN"/>
    <s v="55plus"/>
    <n v="631500"/>
    <n v="604000"/>
    <n v="2595347"/>
    <n v="2657093"/>
    <n v="0.24332006471581641"/>
    <n v="0.22731609318906038"/>
    <n v="1.6E-2"/>
    <n v="34005"/>
    <n v="0.95650000000000002"/>
    <n v="10238"/>
    <n v="0.93430000000000002"/>
    <n v="-4016940"/>
    <n v="-1963847"/>
    <n v="-2053093"/>
  </r>
  <r>
    <s v="CHE"/>
    <n v="4554"/>
    <n v="145500"/>
    <n v="170500"/>
    <n v="614208"/>
    <n v="609043"/>
    <n v="0.23689043451078462"/>
    <n v="0.27994739287702181"/>
    <n v="-4.3099999999999999E-2"/>
    <n v="-83308"/>
    <n v="11718"/>
    <n v="0.99160000000000004"/>
    <n v="11817"/>
    <n v="-907251"/>
    <n v="-468708"/>
    <n v="-438543"/>
  </r>
  <r>
    <s v="POL"/>
    <n v="4554"/>
    <n v="635000"/>
    <n v="869500"/>
    <n v="2682194"/>
    <n v="2667469"/>
    <n v="0.23674648440791382"/>
    <n v="0.32596442545349169"/>
    <n v="-8.9200000000000002E-2"/>
    <n v="-15855"/>
    <n v="13693"/>
    <n v="0.99450000000000005"/>
    <n v="13769"/>
    <n v="-3845163"/>
    <n v="-2047194"/>
    <n v="-1797969"/>
  </r>
  <r>
    <s v="DNK"/>
    <n v="3544"/>
    <n v="85000"/>
    <n v="105000"/>
    <n v="359179"/>
    <n v="349786"/>
    <n v="0.23665080642242448"/>
    <n v="0.30018354079351373"/>
    <n v="-6.3500000000000001E-2"/>
    <n v="-118347"/>
    <n v="12353"/>
    <n v="0.9738"/>
    <n v="12685"/>
    <n v="-518965"/>
    <n v="-274179"/>
    <n v="-244786"/>
  </r>
  <r>
    <s v="NGA"/>
    <n v="4554"/>
    <n v="1975000"/>
    <n v="965000"/>
    <n v="8457920"/>
    <n v="8354606"/>
    <n v="0.23350894782641596"/>
    <n v="0.11550514769936487"/>
    <n v="0.11799999999999999"/>
    <n v="338106"/>
    <n v="0.48859999999999998"/>
    <n v="0.98780000000000001"/>
    <n v="0.49459999999999998"/>
    <n v="-13872526"/>
    <n v="-6482920"/>
    <n v="-7389606"/>
  </r>
  <r>
    <s v="NOR"/>
    <n v="4554"/>
    <n v="86500"/>
    <n v="120500"/>
    <n v="372116"/>
    <n v="356609"/>
    <n v="0.23245439594105063"/>
    <n v="0.33790510054429362"/>
    <n v="-0.1055"/>
    <n v="-184885"/>
    <n v="13931"/>
    <n v="0.95830000000000004"/>
    <n v="14537"/>
    <n v="-521725"/>
    <n v="-285616"/>
    <n v="-236109"/>
  </r>
  <r>
    <s v="POL"/>
    <s v="55plus"/>
    <n v="463000"/>
    <n v="734000"/>
    <n v="2036308"/>
    <n v="2178700"/>
    <n v="0.22737228356417594"/>
    <n v="0.33689815027309866"/>
    <n v="-0.1095"/>
    <n v="-194102"/>
    <n v="15853"/>
    <n v="10699"/>
    <n v="14817"/>
    <n v="-3018008"/>
    <n v="-1573308"/>
    <n v="-1444700"/>
  </r>
  <r>
    <s v="SWE"/>
    <n v="4554"/>
    <n v="148500"/>
    <n v="199500"/>
    <n v="665306"/>
    <n v="643691"/>
    <n v="0.22320556255317103"/>
    <n v="0.30993131797710394"/>
    <n v="-8.6699999999999999E-2"/>
    <n v="-162671"/>
    <n v="13434"/>
    <n v="0.96750000000000003"/>
    <n v="13885"/>
    <n v="-960997"/>
    <n v="-516806"/>
    <n v="-444191"/>
  </r>
  <r>
    <s v="FIN"/>
    <n v="4554"/>
    <n v="76000"/>
    <n v="107000"/>
    <n v="342108"/>
    <n v="327799"/>
    <n v="0.22215206893729467"/>
    <n v="0.32641954368378184"/>
    <n v="-0.1043"/>
    <n v="-190071"/>
    <n v="14079"/>
    <n v="0.95820000000000005"/>
    <n v="14693"/>
    <n v="-486907"/>
    <n v="-266108"/>
    <n v="-220799"/>
  </r>
  <r>
    <s v="AUT"/>
    <n v="4554"/>
    <n v="131000"/>
    <n v="154000"/>
    <n v="596757"/>
    <n v="601821"/>
    <n v="0.21951983805803701"/>
    <n v="0.25589004039407065"/>
    <n v="-3.6400000000000002E-2"/>
    <n v="-76503"/>
    <n v="11756"/>
    <n v="10085"/>
    <n v="11657"/>
    <n v="-913578"/>
    <n v="-465757"/>
    <n v="-447821"/>
  </r>
  <r>
    <s v="NLD"/>
    <s v="55plus"/>
    <n v="261500"/>
    <n v="365000"/>
    <n v="1256118"/>
    <n v="1261756"/>
    <n v="0.20818107852924644"/>
    <n v="0.28927938523771635"/>
    <n v="-8.1100000000000005E-2"/>
    <n v="-163025"/>
    <n v="13958"/>
    <n v="10045"/>
    <n v="13895"/>
    <n v="-1891374"/>
    <n v="-994618"/>
    <n v="-896756"/>
  </r>
  <r>
    <s v="BEL"/>
    <s v="55plus"/>
    <n v="165000"/>
    <n v="225000"/>
    <n v="794204"/>
    <n v="790224"/>
    <n v="0.20775518632492407"/>
    <n v="0.28472939318471724"/>
    <n v="-7.6999999999999999E-2"/>
    <n v="-156298"/>
    <n v="13636"/>
    <n v="0.995"/>
    <n v="13705"/>
    <n v="-1194428"/>
    <n v="-629204"/>
    <n v="-565224"/>
  </r>
  <r>
    <s v="SWE"/>
    <s v="55plus"/>
    <n v="129500"/>
    <n v="168000"/>
    <n v="651369"/>
    <n v="638940"/>
    <n v="0.19881204048703577"/>
    <n v="0.26293548690017843"/>
    <n v="-6.4100000000000004E-2"/>
    <n v="-138871"/>
    <n v="12973"/>
    <n v="0.98089999999999999"/>
    <n v="13226"/>
    <n v="-992809"/>
    <n v="-521869"/>
    <n v="-470940"/>
  </r>
  <r>
    <s v="BGD"/>
    <s v="55plus"/>
    <n v="1179500"/>
    <n v="613000"/>
    <n v="6044164"/>
    <n v="5893279"/>
    <n v="0.195146921890273"/>
    <n v="0.10401679608245257"/>
    <n v="9.11E-2"/>
    <n v="304616"/>
    <n v="0.51970000000000005"/>
    <n v="0.97499999999999998"/>
    <n v="0.53300000000000003"/>
    <n v="-10144943"/>
    <n v="-4864664"/>
    <n v="-5280279"/>
  </r>
  <r>
    <s v="OMN"/>
    <n v="4554"/>
    <n v="72500"/>
    <n v="38500"/>
    <n v="377168"/>
    <n v="191625"/>
    <n v="0.19222203368260299"/>
    <n v="0.20091324200913241"/>
    <n v="-8.6999999999999994E-3"/>
    <n v="-22107"/>
    <n v="0.53100000000000003"/>
    <n v="0.5081"/>
    <n v="10451"/>
    <n v="-457793"/>
    <n v="-304668"/>
    <n v="-153125"/>
  </r>
  <r>
    <s v="FIN"/>
    <s v="55plus"/>
    <n v="65000"/>
    <n v="88000"/>
    <n v="354460"/>
    <n v="358713"/>
    <n v="0.18337753202053828"/>
    <n v="0.24532146869502916"/>
    <n v="-6.1899999999999997E-2"/>
    <n v="-144493"/>
    <n v="13538"/>
    <n v="1012"/>
    <n v="13377"/>
    <n v="-560173"/>
    <n v="-289460"/>
    <n v="-270713"/>
  </r>
  <r>
    <s v="PAK"/>
    <n v="4554"/>
    <n v="1775000"/>
    <n v="764000"/>
    <n v="9730731"/>
    <n v="9690455"/>
    <n v="0.18241178386289786"/>
    <n v="7.8840467243282183E-2"/>
    <n v="0.1036"/>
    <n v="396442"/>
    <n v="0.4304"/>
    <n v="0.99590000000000001"/>
    <n v="0.43219999999999997"/>
    <n v="-16882186"/>
    <n v="-7955731"/>
    <n v="-8926455"/>
  </r>
  <r>
    <s v="DEU"/>
    <s v="55plus"/>
    <n v="1177500"/>
    <n v="1592500"/>
    <n v="6503530"/>
    <n v="6562654"/>
    <n v="0.18105551907963829"/>
    <n v="0.24266097222251851"/>
    <n v="-6.1600000000000002E-2"/>
    <n v="-145393"/>
    <n v="13524"/>
    <n v="10091"/>
    <n v="13402"/>
    <n v="-10296184"/>
    <n v="-5326030"/>
    <n v="-4970154"/>
  </r>
  <r>
    <s v="CHE"/>
    <s v="55plus"/>
    <n v="117000"/>
    <n v="143500"/>
    <n v="648075"/>
    <n v="644538"/>
    <n v="0.18053466034023841"/>
    <n v="0.22264009259345455"/>
    <n v="-4.2099999999999999E-2"/>
    <n v="-104435"/>
    <n v="12265"/>
    <n v="0.99450000000000005"/>
    <n v="12333"/>
    <n v="-1032113"/>
    <n v="-531075"/>
    <n v="-501038"/>
  </r>
  <r>
    <s v="NOR"/>
    <s v="55plus"/>
    <n v="63000"/>
    <n v="80500"/>
    <n v="356753"/>
    <n v="344628"/>
    <n v="0.1765927686662761"/>
    <n v="0.23358519911324674"/>
    <n v="-5.7000000000000002E-2"/>
    <n v="-138946"/>
    <n v="12778"/>
    <n v="0.96599999999999997"/>
    <n v="13228"/>
    <n v="-557881"/>
    <n v="-293753"/>
    <n v="-264128"/>
  </r>
  <r>
    <s v="CZE"/>
    <n v="3544"/>
    <n v="126000"/>
    <n v="160500"/>
    <n v="748684"/>
    <n v="699395"/>
    <n v="0.16829530215685123"/>
    <n v="0.22948405407530795"/>
    <n v="-6.1199999999999997E-2"/>
    <n v="-153826"/>
    <n v="12738"/>
    <n v="0.93420000000000003"/>
    <n v="13635"/>
    <n v="-1161579"/>
    <n v="-622684"/>
    <n v="-538895"/>
  </r>
  <r>
    <s v="PRI"/>
    <n v="4554"/>
    <n v="33000"/>
    <n v="29500"/>
    <n v="196873"/>
    <n v="221218"/>
    <n v="0.16762075043302027"/>
    <n v="0.13335262049200336"/>
    <n v="3.4299999999999997E-2"/>
    <n v="113858"/>
    <n v="0.89390000000000003"/>
    <n v="11237"/>
    <n v="0.79549999999999998"/>
    <n v="-355591"/>
    <n v="-163873"/>
    <n v="-191718"/>
  </r>
  <r>
    <s v="DNK"/>
    <n v="4554"/>
    <n v="56000"/>
    <n v="75000"/>
    <n v="378753"/>
    <n v="380507"/>
    <n v="0.14785361436081035"/>
    <n v="0.19710544089859056"/>
    <n v="-4.9299999999999997E-2"/>
    <n v="-142776"/>
    <n v="13393"/>
    <n v="10046"/>
    <n v="13332"/>
    <n v="-628260"/>
    <n v="-322753"/>
    <n v="-305507"/>
  </r>
  <r>
    <s v="AUT"/>
    <s v="55plus"/>
    <n v="100500"/>
    <n v="123500"/>
    <n v="690794"/>
    <n v="700465"/>
    <n v="0.14548476101413735"/>
    <n v="0.17631145025090475"/>
    <n v="-3.0800000000000001E-2"/>
    <n v="-95796"/>
    <n v="12289"/>
    <n v="1014"/>
    <n v="12119"/>
    <n v="-1167259"/>
    <n v="-590294"/>
    <n v="-576965"/>
  </r>
  <r>
    <s v="LKA"/>
    <n v="4554"/>
    <n v="181500"/>
    <n v="113500"/>
    <n v="1336886"/>
    <n v="1443168"/>
    <n v="0.13576325879693557"/>
    <n v="7.864642231535067E-2"/>
    <n v="5.7099999999999998E-2"/>
    <n v="266391"/>
    <n v="0.62529999999999997"/>
    <n v="10795"/>
    <n v="0.57920000000000005"/>
    <n v="-2485054"/>
    <n v="-1155386"/>
    <n v="-1329668"/>
  </r>
  <r>
    <s v="DNK"/>
    <s v="55plus"/>
    <n v="41500"/>
    <n v="54000"/>
    <n v="394472"/>
    <n v="395944"/>
    <n v="0.10520391814881665"/>
    <n v="0.136382922837573"/>
    <n v="-3.1199999999999999E-2"/>
    <n v="-129059"/>
    <n v="13012"/>
    <n v="10037"/>
    <n v="12964"/>
    <n v="-694916"/>
    <n v="-352972"/>
    <n v="-341944"/>
  </r>
  <r>
    <s v="BGD"/>
    <n v="4554"/>
    <n v="883000"/>
    <n v="418000"/>
    <n v="8529794"/>
    <n v="8545076"/>
    <n v="0.10351949882963175"/>
    <n v="4.8917060538724293E-2"/>
    <n v="5.4600000000000003E-2"/>
    <n v="358198"/>
    <n v="0.47339999999999999"/>
    <n v="10018"/>
    <n v="0.47249999999999998"/>
    <n v="-15773870"/>
    <n v="-7646794"/>
    <n v="-8127076"/>
  </r>
  <r>
    <s v="CZE"/>
    <s v="55plus"/>
    <n v="66500"/>
    <n v="92000"/>
    <n v="649612"/>
    <n v="648746"/>
    <n v="0.10236879860593709"/>
    <n v="0.14181204970820629"/>
    <n v="-3.9399999999999998E-2"/>
    <n v="-161533"/>
    <n v="13835"/>
    <n v="0.99870000000000003"/>
    <n v="13853"/>
    <n v="-1139858"/>
    <n v="-583112"/>
    <n v="-556746"/>
  </r>
  <r>
    <s v="CZE"/>
    <n v="4554"/>
    <n v="89500"/>
    <n v="118000"/>
    <n v="886819"/>
    <n v="841210"/>
    <n v="0.10092251068143555"/>
    <n v="0.14027412893332225"/>
    <n v="-3.9399999999999998E-2"/>
    <n v="-163152"/>
    <n v="13184"/>
    <n v="0.9486"/>
    <n v="13898"/>
    <n v="-1520529"/>
    <n v="-797319"/>
    <n v="-723210"/>
  </r>
  <r>
    <s v="LKA"/>
    <s v="55plus"/>
    <n v="104000"/>
    <n v="77000"/>
    <n v="1101829"/>
    <n v="1260487"/>
    <n v="9.4388512192000756E-2"/>
    <n v="6.1087500307420863E-2"/>
    <n v="3.3300000000000003E-2"/>
    <n v="214187"/>
    <n v="0.74039999999999995"/>
    <n v="1144"/>
    <n v="0.6472"/>
    <n v="-2181316"/>
    <n v="-997829"/>
    <n v="-1183487"/>
  </r>
  <r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AE30D-767D-4E3B-A958-A520C77F9AEA}" name="PivotTable2" cacheId="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6:F7" firstHeaderRow="0" firstDataRow="1" firstDataCol="0"/>
  <pivotFields count="16"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Mittelwert von pop_female" fld="5" subtotal="average" baseField="0" baseItem="1"/>
    <dataField name="Mittelwert von pop_male" fld="4" subtotal="average" baseField="0" baseItem="1"/>
    <dataField name="Mittelwert von tiktok_female" fld="3" subtotal="average" baseField="0" baseItem="1"/>
    <dataField name="Mittelwert von tiktok_male" fld="2" subtotal="average" baseField="0" baseItem="1"/>
    <dataField name="Mittelwert von pen_male" fld="6" subtotal="average" baseField="0" baseItem="3"/>
    <dataField name="Mittelwert von pen_female" fld="7" subtotal="average" baseField="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0BEE2A-C29C-42BC-A99A-63C6ED1A6FC6}" name="PivotTable1" cacheId="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D4" firstHeaderRow="0" firstDataRow="1" firstDataCol="0"/>
  <pivotFields count="16"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me von pop_female" fld="5" baseField="0" baseItem="0"/>
    <dataField name="Summe von pop_male" fld="4" baseField="0" baseItem="0"/>
    <dataField name="Summe von tiktok_female" fld="3" baseField="0" baseItem="0"/>
    <dataField name="Summe von tiktok_mal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FE8E0-F973-4372-8A13-953F3A0A54B3}">
  <dimension ref="A3:F10"/>
  <sheetViews>
    <sheetView workbookViewId="0">
      <selection activeCell="G7" sqref="G7"/>
    </sheetView>
  </sheetViews>
  <sheetFormatPr baseColWidth="10" defaultRowHeight="14.5" x14ac:dyDescent="0.35"/>
  <cols>
    <col min="1" max="1" width="23.26953125" bestFit="1" customWidth="1"/>
    <col min="2" max="2" width="21.6328125" bestFit="1" customWidth="1"/>
    <col min="3" max="3" width="24.90625" bestFit="1" customWidth="1"/>
    <col min="4" max="4" width="23.26953125" bestFit="1" customWidth="1"/>
    <col min="5" max="5" width="21.6328125" bestFit="1" customWidth="1"/>
    <col min="6" max="6" width="23.26953125" bestFit="1" customWidth="1"/>
    <col min="7" max="7" width="11.81640625" bestFit="1" customWidth="1"/>
  </cols>
  <sheetData>
    <row r="3" spans="1:6" x14ac:dyDescent="0.35">
      <c r="A3" t="s">
        <v>85</v>
      </c>
      <c r="B3" t="s">
        <v>84</v>
      </c>
      <c r="C3" t="s">
        <v>83</v>
      </c>
      <c r="D3" t="s">
        <v>82</v>
      </c>
    </row>
    <row r="4" spans="1:6" x14ac:dyDescent="0.35">
      <c r="A4" s="4">
        <v>781198152</v>
      </c>
      <c r="B4" s="4">
        <v>794908576</v>
      </c>
      <c r="C4" s="4">
        <v>736654500</v>
      </c>
      <c r="D4" s="4">
        <v>1101079000</v>
      </c>
      <c r="F4" s="5">
        <f>+GETPIVOTDATA("Summe von tiktok_female",$A$3)/GETPIVOTDATA("Summe von tiktok_male",$A$3)</f>
        <v>0.66902965182334784</v>
      </c>
    </row>
    <row r="6" spans="1:6" x14ac:dyDescent="0.35">
      <c r="A6" t="s">
        <v>86</v>
      </c>
      <c r="B6" t="s">
        <v>87</v>
      </c>
      <c r="C6" t="s">
        <v>88</v>
      </c>
      <c r="D6" t="s">
        <v>89</v>
      </c>
      <c r="E6" t="s">
        <v>90</v>
      </c>
      <c r="F6" t="s">
        <v>91</v>
      </c>
    </row>
    <row r="7" spans="1:6" x14ac:dyDescent="0.35">
      <c r="A7" s="4">
        <v>2741046.1473684208</v>
      </c>
      <c r="B7" s="4">
        <v>2789152.898245614</v>
      </c>
      <c r="C7" s="4">
        <v>2584752.6315789474</v>
      </c>
      <c r="D7" s="4">
        <v>3863435.0877192984</v>
      </c>
      <c r="E7" s="4">
        <v>1.5174964573238348</v>
      </c>
      <c r="F7" s="4">
        <v>1.1743747706203591</v>
      </c>
    </row>
    <row r="9" spans="1:6" x14ac:dyDescent="0.35">
      <c r="C9" s="5">
        <f>+GETPIVOTDATA("Mittelwert von tiktok_female",$A$6)/GETPIVOTDATA("Mittelwert von pop_female",$A$6)</f>
        <v>0.9429803413052622</v>
      </c>
    </row>
    <row r="10" spans="1:6" x14ac:dyDescent="0.35">
      <c r="C10" s="5">
        <f>+GETPIVOTDATA("Mittelwert von tiktok_male",$A$6)/GETPIVOTDATA("Mittelwert von pop_male",$A$6)</f>
        <v>1.38516432360141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73BE-CE40-43A7-8717-AD189318FBD2}">
  <dimension ref="A1:W286"/>
  <sheetViews>
    <sheetView tabSelected="1" zoomScale="105" workbookViewId="0">
      <selection activeCell="Q21" sqref="Q21"/>
    </sheetView>
  </sheetViews>
  <sheetFormatPr baseColWidth="10" defaultRowHeight="14.5" x14ac:dyDescent="0.35"/>
  <cols>
    <col min="2" max="6" width="11" bestFit="1" customWidth="1"/>
    <col min="7" max="8" width="11" style="5" bestFit="1" customWidth="1"/>
    <col min="9" max="16" width="11" bestFit="1" customWidth="1"/>
    <col min="17" max="17" width="21.6328125" customWidth="1"/>
    <col min="18" max="18" width="17" customWidth="1"/>
    <col min="19" max="19" width="14" bestFit="1" customWidth="1"/>
    <col min="20" max="21" width="12.81640625" bestFit="1" customWidth="1"/>
    <col min="22" max="22" width="16.08984375" bestFit="1" customWidth="1"/>
    <col min="23" max="23" width="11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79</v>
      </c>
      <c r="O1" t="s">
        <v>80</v>
      </c>
      <c r="P1" t="s">
        <v>81</v>
      </c>
    </row>
    <row r="2" spans="1:23" x14ac:dyDescent="0.35">
      <c r="A2" t="s">
        <v>67</v>
      </c>
      <c r="B2">
        <v>2024</v>
      </c>
      <c r="C2">
        <v>50305500</v>
      </c>
      <c r="D2">
        <v>4541000</v>
      </c>
      <c r="E2">
        <v>1003431</v>
      </c>
      <c r="F2">
        <v>974012</v>
      </c>
      <c r="G2" s="5">
        <f>+C2/E2</f>
        <v>50.133491988985789</v>
      </c>
      <c r="H2" s="5">
        <f>+D2/F2</f>
        <v>4.6621602197919536</v>
      </c>
      <c r="I2" s="1">
        <v>454713</v>
      </c>
      <c r="J2" s="1">
        <v>829835</v>
      </c>
      <c r="K2">
        <v>9.0300000000000005E-2</v>
      </c>
      <c r="L2">
        <v>0.97070000000000001</v>
      </c>
      <c r="M2">
        <v>9.2999999999999999E-2</v>
      </c>
      <c r="N2">
        <f>+C2-E2+D2-F2</f>
        <v>52869057</v>
      </c>
      <c r="O2">
        <f>+C2-E2</f>
        <v>49302069</v>
      </c>
      <c r="P2">
        <f>+D2-F2</f>
        <v>3566988</v>
      </c>
      <c r="R2" s="6">
        <f>SUM(D:D)</f>
        <v>736654500</v>
      </c>
      <c r="S2" s="6">
        <f>AVERAGE(D:D)</f>
        <v>2584752.6315789474</v>
      </c>
      <c r="T2" s="6">
        <f>_xlfn.STDEV.S(D:D)</f>
        <v>4294618.606018912</v>
      </c>
      <c r="U2" s="6">
        <f>MIN(D:D)</f>
        <v>29500</v>
      </c>
      <c r="V2" s="7">
        <f>MAX(D:D)</f>
        <v>34977000</v>
      </c>
      <c r="W2" s="7"/>
    </row>
    <row r="3" spans="1:23" x14ac:dyDescent="0.35">
      <c r="A3" t="s">
        <v>66</v>
      </c>
      <c r="B3">
        <v>2024</v>
      </c>
      <c r="C3">
        <v>36251500</v>
      </c>
      <c r="D3">
        <v>12797500</v>
      </c>
      <c r="E3">
        <v>3147425</v>
      </c>
      <c r="F3">
        <v>3011567</v>
      </c>
      <c r="G3" s="5">
        <f>+C3/E3</f>
        <v>11.51782806579982</v>
      </c>
      <c r="H3" s="5">
        <f>+D3/F3</f>
        <v>4.2494488749544672</v>
      </c>
      <c r="I3" s="1">
        <v>72684</v>
      </c>
      <c r="J3" s="1">
        <v>460979</v>
      </c>
      <c r="K3">
        <v>0.35299999999999998</v>
      </c>
      <c r="L3">
        <v>0.95679999999999998</v>
      </c>
      <c r="M3">
        <v>0.36890000000000001</v>
      </c>
      <c r="N3">
        <f t="shared" ref="N3:N66" si="0">+C3-E3+D3-F3</f>
        <v>42890008</v>
      </c>
      <c r="O3">
        <f t="shared" ref="O3:O66" si="1">+C3-E3</f>
        <v>33104075</v>
      </c>
      <c r="P3">
        <f t="shared" ref="P3:P66" si="2">+D3-F3</f>
        <v>9785933</v>
      </c>
      <c r="R3" s="7">
        <f>+R2/SUM(F:F)</f>
        <v>0.94298034130526209</v>
      </c>
      <c r="S3" s="7">
        <f>+S2/AVERAGE(F:F)</f>
        <v>0.9429803413052622</v>
      </c>
      <c r="T3">
        <f>_xlfn.STDEV.S(H:H)</f>
        <v>1.1276712327007281</v>
      </c>
      <c r="U3" s="8">
        <f>MIN(H:H)</f>
        <v>4.8917060538724293E-2</v>
      </c>
      <c r="V3" s="8">
        <f>MAX(H:H)</f>
        <v>6.3195698327347767</v>
      </c>
    </row>
    <row r="4" spans="1:23" x14ac:dyDescent="0.35">
      <c r="A4" t="s">
        <v>50</v>
      </c>
      <c r="B4">
        <v>2024</v>
      </c>
      <c r="C4">
        <v>16346000</v>
      </c>
      <c r="D4">
        <v>4269000</v>
      </c>
      <c r="E4">
        <v>1510520</v>
      </c>
      <c r="F4">
        <v>1438990</v>
      </c>
      <c r="G4" s="5">
        <f>+C4/E4</f>
        <v>10.821438974657735</v>
      </c>
      <c r="H4" s="5">
        <f>+D4/F4</f>
        <v>2.9666641185831728</v>
      </c>
      <c r="I4" s="1">
        <v>78548</v>
      </c>
      <c r="J4" s="1">
        <v>569678</v>
      </c>
      <c r="K4">
        <v>0.26119999999999999</v>
      </c>
      <c r="L4">
        <v>0.9526</v>
      </c>
      <c r="M4">
        <v>0.2742</v>
      </c>
      <c r="N4">
        <f t="shared" si="0"/>
        <v>17665490</v>
      </c>
      <c r="O4">
        <f t="shared" si="1"/>
        <v>14835480</v>
      </c>
      <c r="P4">
        <f t="shared" si="2"/>
        <v>2830010</v>
      </c>
    </row>
    <row r="5" spans="1:23" x14ac:dyDescent="0.35">
      <c r="A5" t="s">
        <v>64</v>
      </c>
      <c r="B5">
        <v>2024</v>
      </c>
      <c r="C5">
        <v>15699000</v>
      </c>
      <c r="D5">
        <v>6676500</v>
      </c>
      <c r="E5">
        <v>1539841</v>
      </c>
      <c r="F5">
        <v>1148715</v>
      </c>
      <c r="G5" s="5">
        <f>+C5/E5</f>
        <v>10.195208466328667</v>
      </c>
      <c r="H5" s="5">
        <f>+D5/F5</f>
        <v>5.8121466160013577</v>
      </c>
      <c r="I5" s="1">
        <v>43831</v>
      </c>
      <c r="J5" s="1">
        <v>273815</v>
      </c>
      <c r="K5">
        <v>0.42530000000000001</v>
      </c>
      <c r="L5">
        <v>0.746</v>
      </c>
      <c r="M5">
        <v>0.57010000000000005</v>
      </c>
      <c r="N5">
        <f t="shared" si="0"/>
        <v>19686944</v>
      </c>
      <c r="O5">
        <f t="shared" si="1"/>
        <v>14159159</v>
      </c>
      <c r="P5">
        <f t="shared" si="2"/>
        <v>5527785</v>
      </c>
      <c r="R5" s="6">
        <f>SUM(C:C)</f>
        <v>1101079000</v>
      </c>
      <c r="S5" s="6">
        <f>AVERAGE(C:C)</f>
        <v>3863435.0877192984</v>
      </c>
      <c r="T5">
        <f>_xlfn.STDEV.S(C:C)</f>
        <v>7343108.8327355143</v>
      </c>
      <c r="U5" s="6">
        <f>MIN(C:C)</f>
        <v>29500</v>
      </c>
      <c r="V5" s="7">
        <f>MAX(C:C)</f>
        <v>50305500</v>
      </c>
    </row>
    <row r="6" spans="1:23" x14ac:dyDescent="0.35">
      <c r="A6" t="s">
        <v>47</v>
      </c>
      <c r="B6">
        <v>2024</v>
      </c>
      <c r="C6">
        <v>1336000</v>
      </c>
      <c r="D6">
        <v>525000</v>
      </c>
      <c r="E6">
        <v>138302</v>
      </c>
      <c r="F6">
        <v>119848</v>
      </c>
      <c r="G6" s="5">
        <f>+C6/E6</f>
        <v>9.6600193778831827</v>
      </c>
      <c r="H6" s="5">
        <f>+D6/F6</f>
        <v>4.380548695013684</v>
      </c>
      <c r="I6" s="1">
        <v>52795</v>
      </c>
      <c r="J6" s="1">
        <v>376015</v>
      </c>
      <c r="K6">
        <v>0.39300000000000002</v>
      </c>
      <c r="L6">
        <v>0.86660000000000004</v>
      </c>
      <c r="M6">
        <v>0.45350000000000001</v>
      </c>
      <c r="N6">
        <f t="shared" si="0"/>
        <v>1602850</v>
      </c>
      <c r="O6">
        <f t="shared" si="1"/>
        <v>1197698</v>
      </c>
      <c r="P6">
        <f t="shared" si="2"/>
        <v>405152</v>
      </c>
      <c r="R6">
        <f>+R5/SUM(E:E)</f>
        <v>1.38516432360141</v>
      </c>
      <c r="S6" s="7">
        <f>+S5/AVERAGE(E:E)</f>
        <v>1.38516432360141</v>
      </c>
      <c r="T6">
        <f>_xlfn.STDEV.S(G:G)</f>
        <v>3.3411155544903721</v>
      </c>
      <c r="U6" s="8">
        <f>MIN(G:G)</f>
        <v>9.4388512192000756E-2</v>
      </c>
      <c r="V6" s="8">
        <f>MAX(G:G)</f>
        <v>50.133491988985789</v>
      </c>
    </row>
    <row r="7" spans="1:23" x14ac:dyDescent="0.35">
      <c r="A7" t="s">
        <v>62</v>
      </c>
      <c r="B7">
        <v>2024</v>
      </c>
      <c r="C7">
        <v>791500</v>
      </c>
      <c r="D7">
        <v>318500</v>
      </c>
      <c r="E7">
        <v>108097</v>
      </c>
      <c r="F7">
        <v>50399</v>
      </c>
      <c r="G7" s="5">
        <f>+C7/E7</f>
        <v>7.3221273485850675</v>
      </c>
      <c r="H7" s="5">
        <f>+D7/F7</f>
        <v>6.3195698327347767</v>
      </c>
      <c r="I7" s="1">
        <v>10026</v>
      </c>
      <c r="J7" s="1">
        <v>73492</v>
      </c>
      <c r="K7">
        <v>0.40239999999999998</v>
      </c>
      <c r="L7">
        <v>0.4662</v>
      </c>
      <c r="M7">
        <v>0.86309999999999998</v>
      </c>
      <c r="N7">
        <f t="shared" si="0"/>
        <v>951504</v>
      </c>
      <c r="O7">
        <f t="shared" si="1"/>
        <v>683403</v>
      </c>
      <c r="P7">
        <f t="shared" si="2"/>
        <v>268101</v>
      </c>
      <c r="R7" s="6"/>
    </row>
    <row r="8" spans="1:23" x14ac:dyDescent="0.35">
      <c r="A8" t="s">
        <v>32</v>
      </c>
      <c r="B8">
        <v>2024</v>
      </c>
      <c r="C8">
        <v>35838500</v>
      </c>
      <c r="D8">
        <v>11964000</v>
      </c>
      <c r="E8">
        <v>5042469</v>
      </c>
      <c r="F8">
        <v>4848741</v>
      </c>
      <c r="G8" s="5">
        <f>+C8/E8</f>
        <v>7.107331745619061</v>
      </c>
      <c r="H8" s="5">
        <f>+D8/F8</f>
        <v>2.4674446418152671</v>
      </c>
      <c r="I8" s="1">
        <v>46399</v>
      </c>
      <c r="J8" s="1">
        <v>484595</v>
      </c>
      <c r="K8">
        <v>0.33379999999999999</v>
      </c>
      <c r="L8">
        <v>0.96160000000000001</v>
      </c>
      <c r="M8">
        <v>0.34710000000000002</v>
      </c>
      <c r="N8">
        <f t="shared" si="0"/>
        <v>37911290</v>
      </c>
      <c r="O8">
        <f t="shared" si="1"/>
        <v>30796031</v>
      </c>
      <c r="P8">
        <f t="shared" si="2"/>
        <v>7115259</v>
      </c>
      <c r="R8" s="6"/>
    </row>
    <row r="9" spans="1:23" x14ac:dyDescent="0.35">
      <c r="A9" t="s">
        <v>13</v>
      </c>
      <c r="B9">
        <v>2024</v>
      </c>
      <c r="C9">
        <v>3746500</v>
      </c>
      <c r="D9">
        <v>1542500</v>
      </c>
      <c r="E9">
        <v>569461</v>
      </c>
      <c r="F9">
        <v>349119</v>
      </c>
      <c r="G9" s="5">
        <f>+C9/E9</f>
        <v>6.5790282389838817</v>
      </c>
      <c r="H9" s="5">
        <f>+D9/F9</f>
        <v>4.4182642594645376</v>
      </c>
      <c r="I9" s="1">
        <v>21608</v>
      </c>
      <c r="J9" s="1">
        <v>196481</v>
      </c>
      <c r="K9">
        <v>0.41170000000000001</v>
      </c>
      <c r="L9">
        <v>0.61309999999999998</v>
      </c>
      <c r="M9">
        <v>0.67149999999999999</v>
      </c>
      <c r="N9">
        <f t="shared" si="0"/>
        <v>4370420</v>
      </c>
      <c r="O9">
        <f t="shared" si="1"/>
        <v>3177039</v>
      </c>
      <c r="P9">
        <f t="shared" si="2"/>
        <v>1193381</v>
      </c>
      <c r="R9" s="6">
        <f>+R5-R2</f>
        <v>364424500</v>
      </c>
    </row>
    <row r="10" spans="1:23" x14ac:dyDescent="0.35">
      <c r="A10" t="s">
        <v>43</v>
      </c>
      <c r="B10">
        <v>2534</v>
      </c>
      <c r="C10">
        <v>40114000</v>
      </c>
      <c r="D10">
        <v>34977000</v>
      </c>
      <c r="E10">
        <v>6194414</v>
      </c>
      <c r="F10">
        <v>5953869</v>
      </c>
      <c r="G10" s="5">
        <f>+C10/E10</f>
        <v>6.4758345180028325</v>
      </c>
      <c r="H10" s="5">
        <f>+D10/F10</f>
        <v>5.8746673801523013</v>
      </c>
      <c r="I10">
        <v>0.60119999999999996</v>
      </c>
      <c r="J10" s="1">
        <v>48676</v>
      </c>
      <c r="K10">
        <v>0.87190000000000001</v>
      </c>
      <c r="L10">
        <v>0.96120000000000005</v>
      </c>
      <c r="M10">
        <v>0.90710000000000002</v>
      </c>
      <c r="N10">
        <f t="shared" si="0"/>
        <v>62942717</v>
      </c>
      <c r="O10">
        <f t="shared" si="1"/>
        <v>33919586</v>
      </c>
      <c r="P10">
        <f t="shared" si="2"/>
        <v>29023131</v>
      </c>
      <c r="R10" s="6">
        <f>+R9/(R2+R5)</f>
        <v>0.19830105942999895</v>
      </c>
    </row>
    <row r="11" spans="1:23" x14ac:dyDescent="0.35">
      <c r="A11" t="s">
        <v>70</v>
      </c>
      <c r="B11">
        <v>2024</v>
      </c>
      <c r="C11">
        <v>15407000</v>
      </c>
      <c r="D11">
        <v>9242500</v>
      </c>
      <c r="E11">
        <v>2597837</v>
      </c>
      <c r="F11">
        <v>2532950</v>
      </c>
      <c r="G11" s="5">
        <f>+C11/E11</f>
        <v>5.9307031195567701</v>
      </c>
      <c r="H11" s="5">
        <f>+D11/F11</f>
        <v>3.648907400461912</v>
      </c>
      <c r="I11" s="1">
        <v>22818</v>
      </c>
      <c r="J11" s="1">
        <v>238193</v>
      </c>
      <c r="K11">
        <v>0.59989999999999999</v>
      </c>
      <c r="L11">
        <v>0.97499999999999998</v>
      </c>
      <c r="M11">
        <v>0.61529999999999996</v>
      </c>
      <c r="N11">
        <f t="shared" si="0"/>
        <v>19518713</v>
      </c>
      <c r="O11">
        <f t="shared" si="1"/>
        <v>12809163</v>
      </c>
      <c r="P11">
        <f t="shared" si="2"/>
        <v>6709550</v>
      </c>
    </row>
    <row r="12" spans="1:23" x14ac:dyDescent="0.35">
      <c r="A12" t="s">
        <v>64</v>
      </c>
      <c r="B12">
        <v>2534</v>
      </c>
      <c r="C12">
        <v>25113000</v>
      </c>
      <c r="D12">
        <v>12798500</v>
      </c>
      <c r="E12">
        <v>4814589</v>
      </c>
      <c r="F12">
        <v>2617454</v>
      </c>
      <c r="G12" s="5">
        <f>+C12/E12</f>
        <v>5.2160215544878286</v>
      </c>
      <c r="H12" s="5">
        <f>+D12/F12</f>
        <v>4.8896752340251251</v>
      </c>
      <c r="I12">
        <v>0.32629999999999998</v>
      </c>
      <c r="J12" s="1">
        <v>32293</v>
      </c>
      <c r="K12">
        <v>0.50960000000000005</v>
      </c>
      <c r="L12">
        <v>0.54369999999999996</v>
      </c>
      <c r="M12">
        <v>0.93730000000000002</v>
      </c>
      <c r="N12">
        <f t="shared" si="0"/>
        <v>30479457</v>
      </c>
      <c r="O12">
        <f t="shared" si="1"/>
        <v>20298411</v>
      </c>
      <c r="P12">
        <f t="shared" si="2"/>
        <v>10181046</v>
      </c>
    </row>
    <row r="13" spans="1:23" x14ac:dyDescent="0.35">
      <c r="A13" t="s">
        <v>43</v>
      </c>
      <c r="B13">
        <v>3544</v>
      </c>
      <c r="C13">
        <v>34534000</v>
      </c>
      <c r="D13">
        <v>17530500</v>
      </c>
      <c r="E13">
        <v>6981661</v>
      </c>
      <c r="F13">
        <v>6787158</v>
      </c>
      <c r="G13" s="5">
        <f>+C13/E13</f>
        <v>4.9463873997892476</v>
      </c>
      <c r="H13" s="5">
        <f>+D13/F13</f>
        <v>2.5828925744766806</v>
      </c>
      <c r="I13" s="1">
        <v>23635</v>
      </c>
      <c r="J13" s="1">
        <v>313907</v>
      </c>
      <c r="K13">
        <v>0.50760000000000005</v>
      </c>
      <c r="L13">
        <v>0.97209999999999996</v>
      </c>
      <c r="M13">
        <v>0.5222</v>
      </c>
      <c r="N13">
        <f t="shared" si="0"/>
        <v>38295681</v>
      </c>
      <c r="O13">
        <f t="shared" si="1"/>
        <v>27552339</v>
      </c>
      <c r="P13">
        <f t="shared" si="2"/>
        <v>10743342</v>
      </c>
    </row>
    <row r="14" spans="1:23" x14ac:dyDescent="0.35">
      <c r="A14" t="s">
        <v>43</v>
      </c>
      <c r="B14">
        <v>2024</v>
      </c>
      <c r="C14">
        <v>15352000</v>
      </c>
      <c r="D14">
        <v>15056000</v>
      </c>
      <c r="E14">
        <v>3136998</v>
      </c>
      <c r="F14">
        <v>2986343</v>
      </c>
      <c r="G14" s="5">
        <f>+C14/E14</f>
        <v>4.8938507452028981</v>
      </c>
      <c r="H14" s="5">
        <f>+D14/F14</f>
        <v>5.0416177913923486</v>
      </c>
      <c r="I14">
        <v>-0.14779999999999999</v>
      </c>
      <c r="J14" s="1">
        <v>-14873</v>
      </c>
      <c r="K14">
        <v>0.98070000000000002</v>
      </c>
      <c r="L14">
        <v>0.95199999999999996</v>
      </c>
      <c r="M14" s="1">
        <v>10301</v>
      </c>
      <c r="N14">
        <f t="shared" si="0"/>
        <v>24284659</v>
      </c>
      <c r="O14">
        <f t="shared" si="1"/>
        <v>12215002</v>
      </c>
      <c r="P14">
        <f t="shared" si="2"/>
        <v>12069657</v>
      </c>
    </row>
    <row r="15" spans="1:23" x14ac:dyDescent="0.35">
      <c r="A15" t="s">
        <v>67</v>
      </c>
      <c r="B15">
        <v>2534</v>
      </c>
      <c r="C15">
        <v>11770500</v>
      </c>
      <c r="D15">
        <v>8443000</v>
      </c>
      <c r="E15">
        <v>2425448</v>
      </c>
      <c r="F15">
        <v>2370639</v>
      </c>
      <c r="G15" s="5">
        <f>+C15/E15</f>
        <v>4.8529178939313482</v>
      </c>
      <c r="H15" s="5">
        <f>+D15/F15</f>
        <v>3.5614870083551313</v>
      </c>
      <c r="I15" s="1">
        <v>12914</v>
      </c>
      <c r="J15" s="1">
        <v>153479</v>
      </c>
      <c r="K15">
        <v>0.71730000000000005</v>
      </c>
      <c r="L15">
        <v>0.97740000000000005</v>
      </c>
      <c r="M15">
        <v>0.7339</v>
      </c>
      <c r="N15">
        <f t="shared" si="0"/>
        <v>15417413</v>
      </c>
      <c r="O15">
        <f t="shared" si="1"/>
        <v>9345052</v>
      </c>
      <c r="P15">
        <f t="shared" si="2"/>
        <v>6072361</v>
      </c>
    </row>
    <row r="16" spans="1:23" x14ac:dyDescent="0.35">
      <c r="A16" t="s">
        <v>21</v>
      </c>
      <c r="B16">
        <v>2024</v>
      </c>
      <c r="C16">
        <v>1031500</v>
      </c>
      <c r="D16">
        <v>1103000</v>
      </c>
      <c r="E16">
        <v>221269</v>
      </c>
      <c r="F16">
        <v>209342</v>
      </c>
      <c r="G16" s="5">
        <f>+C16/E16</f>
        <v>4.6617465618771723</v>
      </c>
      <c r="H16" s="5">
        <f>+D16/F16</f>
        <v>5.2688901414909575</v>
      </c>
      <c r="I16">
        <v>-0.60709999999999997</v>
      </c>
      <c r="J16" s="1">
        <v>-61138</v>
      </c>
      <c r="K16" s="1">
        <v>10693</v>
      </c>
      <c r="L16">
        <v>0.94610000000000005</v>
      </c>
      <c r="M16" s="1">
        <v>11302</v>
      </c>
      <c r="N16">
        <f t="shared" si="0"/>
        <v>1703889</v>
      </c>
      <c r="O16">
        <f t="shared" si="1"/>
        <v>810231</v>
      </c>
      <c r="P16">
        <f t="shared" si="2"/>
        <v>893658</v>
      </c>
    </row>
    <row r="17" spans="1:16" x14ac:dyDescent="0.35">
      <c r="A17" t="s">
        <v>46</v>
      </c>
      <c r="B17">
        <v>3544</v>
      </c>
      <c r="C17">
        <v>17239500</v>
      </c>
      <c r="D17">
        <v>5934000</v>
      </c>
      <c r="E17">
        <v>3708323</v>
      </c>
      <c r="F17">
        <v>3409962</v>
      </c>
      <c r="G17" s="5">
        <f>+C17/E17</f>
        <v>4.6488668867302012</v>
      </c>
      <c r="H17" s="5">
        <f>+D17/F17</f>
        <v>1.7401953452853727</v>
      </c>
      <c r="I17" s="1">
        <v>29087</v>
      </c>
      <c r="J17" s="1">
        <v>455258</v>
      </c>
      <c r="K17">
        <v>0.34420000000000001</v>
      </c>
      <c r="L17">
        <v>0.91949999999999998</v>
      </c>
      <c r="M17">
        <v>0.37430000000000002</v>
      </c>
      <c r="N17">
        <f t="shared" si="0"/>
        <v>16055215</v>
      </c>
      <c r="O17">
        <f t="shared" si="1"/>
        <v>13531177</v>
      </c>
      <c r="P17">
        <f t="shared" si="2"/>
        <v>2524038</v>
      </c>
    </row>
    <row r="18" spans="1:16" x14ac:dyDescent="0.35">
      <c r="A18" t="s">
        <v>70</v>
      </c>
      <c r="B18">
        <v>2534</v>
      </c>
      <c r="C18">
        <v>24212000</v>
      </c>
      <c r="D18">
        <v>17910500</v>
      </c>
      <c r="E18">
        <v>5560225</v>
      </c>
      <c r="F18">
        <v>5638288</v>
      </c>
      <c r="G18" s="5">
        <f>+C18/E18</f>
        <v>4.3545000427140987</v>
      </c>
      <c r="H18" s="5">
        <f>+D18/F18</f>
        <v>3.1765848073032097</v>
      </c>
      <c r="I18" s="1">
        <v>11779</v>
      </c>
      <c r="J18" s="1">
        <v>156407</v>
      </c>
      <c r="K18">
        <v>0.73970000000000002</v>
      </c>
      <c r="L18" s="1">
        <v>1014</v>
      </c>
      <c r="M18">
        <v>0.72950000000000004</v>
      </c>
      <c r="N18">
        <f t="shared" si="0"/>
        <v>30923987</v>
      </c>
      <c r="O18">
        <f t="shared" si="1"/>
        <v>18651775</v>
      </c>
      <c r="P18">
        <f t="shared" si="2"/>
        <v>12272212</v>
      </c>
    </row>
    <row r="19" spans="1:16" x14ac:dyDescent="0.35">
      <c r="A19" t="s">
        <v>46</v>
      </c>
      <c r="B19">
        <v>2024</v>
      </c>
      <c r="C19">
        <v>5969000</v>
      </c>
      <c r="D19">
        <v>5803000</v>
      </c>
      <c r="E19">
        <v>1407244</v>
      </c>
      <c r="F19">
        <v>1292288</v>
      </c>
      <c r="G19" s="5">
        <f>+C19/E19</f>
        <v>4.2416240538243546</v>
      </c>
      <c r="H19" s="5">
        <f>+D19/F19</f>
        <v>4.490485093106181</v>
      </c>
      <c r="I19">
        <v>-0.24890000000000001</v>
      </c>
      <c r="J19">
        <v>-2.85</v>
      </c>
      <c r="K19">
        <v>0.97219999999999995</v>
      </c>
      <c r="L19">
        <v>0.91830000000000001</v>
      </c>
      <c r="M19" s="1">
        <v>10587</v>
      </c>
      <c r="N19">
        <f t="shared" si="0"/>
        <v>9072468</v>
      </c>
      <c r="O19">
        <f t="shared" si="1"/>
        <v>4561756</v>
      </c>
      <c r="P19">
        <f t="shared" si="2"/>
        <v>4510712</v>
      </c>
    </row>
    <row r="20" spans="1:16" x14ac:dyDescent="0.35">
      <c r="A20" t="s">
        <v>46</v>
      </c>
      <c r="B20">
        <v>2534</v>
      </c>
      <c r="C20">
        <v>15943500</v>
      </c>
      <c r="D20">
        <v>10108000</v>
      </c>
      <c r="E20">
        <v>3761187</v>
      </c>
      <c r="F20">
        <v>3320203</v>
      </c>
      <c r="G20" s="5">
        <f>+C20/E20</f>
        <v>4.2389543513789665</v>
      </c>
      <c r="H20" s="5">
        <f>+D20/F20</f>
        <v>3.044392165177852</v>
      </c>
      <c r="I20" s="1">
        <v>11946</v>
      </c>
      <c r="J20" s="1">
        <v>164013</v>
      </c>
      <c r="K20">
        <v>0.63400000000000001</v>
      </c>
      <c r="L20">
        <v>0.88280000000000003</v>
      </c>
      <c r="M20">
        <v>0.71819999999999995</v>
      </c>
      <c r="N20">
        <f t="shared" si="0"/>
        <v>18970110</v>
      </c>
      <c r="O20">
        <f t="shared" si="1"/>
        <v>12182313</v>
      </c>
      <c r="P20">
        <f t="shared" si="2"/>
        <v>6787797</v>
      </c>
    </row>
    <row r="21" spans="1:16" x14ac:dyDescent="0.35">
      <c r="A21" t="s">
        <v>47</v>
      </c>
      <c r="B21">
        <v>2534</v>
      </c>
      <c r="C21">
        <v>2540500</v>
      </c>
      <c r="D21">
        <v>1108000</v>
      </c>
      <c r="E21">
        <v>636324</v>
      </c>
      <c r="F21">
        <v>333489</v>
      </c>
      <c r="G21" s="5">
        <f>+C21/E21</f>
        <v>3.992462959121454</v>
      </c>
      <c r="H21" s="5">
        <f>+D21/F21</f>
        <v>3.3224484165894528</v>
      </c>
      <c r="I21">
        <v>0.67</v>
      </c>
      <c r="J21" s="1">
        <v>91596</v>
      </c>
      <c r="K21">
        <v>0.43609999999999999</v>
      </c>
      <c r="L21">
        <v>0.52410000000000001</v>
      </c>
      <c r="M21">
        <v>0.83209999999999995</v>
      </c>
      <c r="N21">
        <f t="shared" si="0"/>
        <v>2678687</v>
      </c>
      <c r="O21">
        <f t="shared" si="1"/>
        <v>1904176</v>
      </c>
      <c r="P21">
        <f t="shared" si="2"/>
        <v>774511</v>
      </c>
    </row>
    <row r="22" spans="1:16" x14ac:dyDescent="0.35">
      <c r="A22" t="s">
        <v>66</v>
      </c>
      <c r="B22">
        <v>2534</v>
      </c>
      <c r="C22">
        <v>24521500</v>
      </c>
      <c r="D22">
        <v>12354000</v>
      </c>
      <c r="E22">
        <v>6739944</v>
      </c>
      <c r="F22">
        <v>6457108</v>
      </c>
      <c r="G22" s="5">
        <f>+C22/E22</f>
        <v>3.6382349764330386</v>
      </c>
      <c r="H22" s="5">
        <f>+D22/F22</f>
        <v>1.9132404166075587</v>
      </c>
      <c r="I22" s="1">
        <v>1725</v>
      </c>
      <c r="J22" s="1">
        <v>310727</v>
      </c>
      <c r="K22">
        <v>0.50380000000000003</v>
      </c>
      <c r="L22">
        <v>0.95799999999999996</v>
      </c>
      <c r="M22">
        <v>0.52590000000000003</v>
      </c>
      <c r="N22">
        <f t="shared" si="0"/>
        <v>23678448</v>
      </c>
      <c r="O22">
        <f t="shared" si="1"/>
        <v>17781556</v>
      </c>
      <c r="P22">
        <f t="shared" si="2"/>
        <v>5896892</v>
      </c>
    </row>
    <row r="23" spans="1:16" x14ac:dyDescent="0.35">
      <c r="A23" t="s">
        <v>44</v>
      </c>
      <c r="B23">
        <v>2024</v>
      </c>
      <c r="C23">
        <v>2322000</v>
      </c>
      <c r="D23">
        <v>2461000</v>
      </c>
      <c r="E23">
        <v>643748</v>
      </c>
      <c r="F23">
        <v>618716</v>
      </c>
      <c r="G23" s="5">
        <f>+C23/E23</f>
        <v>3.6070014974803803</v>
      </c>
      <c r="H23" s="5">
        <f>+D23/F23</f>
        <v>3.9775923040619605</v>
      </c>
      <c r="I23">
        <v>-0.37059999999999998</v>
      </c>
      <c r="J23" s="1">
        <v>-48861</v>
      </c>
      <c r="K23" s="1">
        <v>10599</v>
      </c>
      <c r="L23">
        <v>0.96109999999999995</v>
      </c>
      <c r="M23" s="1">
        <v>11028</v>
      </c>
      <c r="N23">
        <f t="shared" si="0"/>
        <v>3520536</v>
      </c>
      <c r="O23">
        <f t="shared" si="1"/>
        <v>1678252</v>
      </c>
      <c r="P23">
        <f t="shared" si="2"/>
        <v>1842284</v>
      </c>
    </row>
    <row r="24" spans="1:16" x14ac:dyDescent="0.35">
      <c r="A24" t="s">
        <v>13</v>
      </c>
      <c r="B24">
        <v>2534</v>
      </c>
      <c r="C24">
        <v>7856000</v>
      </c>
      <c r="D24">
        <v>3084000</v>
      </c>
      <c r="E24">
        <v>2180748</v>
      </c>
      <c r="F24">
        <v>1010799</v>
      </c>
      <c r="G24" s="5">
        <f>+C24/E24</f>
        <v>3.6024336603770815</v>
      </c>
      <c r="H24" s="5">
        <f>+D24/F24</f>
        <v>3.0510516927697791</v>
      </c>
      <c r="I24">
        <v>0.5514</v>
      </c>
      <c r="J24" s="1">
        <v>82871</v>
      </c>
      <c r="K24">
        <v>0.3926</v>
      </c>
      <c r="L24">
        <v>0.46350000000000002</v>
      </c>
      <c r="M24">
        <v>0.84699999999999998</v>
      </c>
      <c r="N24">
        <f t="shared" si="0"/>
        <v>7748453</v>
      </c>
      <c r="O24">
        <f t="shared" si="1"/>
        <v>5675252</v>
      </c>
      <c r="P24">
        <f t="shared" si="2"/>
        <v>2073201</v>
      </c>
    </row>
    <row r="25" spans="1:16" x14ac:dyDescent="0.35">
      <c r="A25" t="s">
        <v>50</v>
      </c>
      <c r="B25">
        <v>2534</v>
      </c>
      <c r="C25">
        <v>10427000</v>
      </c>
      <c r="D25">
        <v>5947500</v>
      </c>
      <c r="E25">
        <v>2944953</v>
      </c>
      <c r="F25">
        <v>2812845</v>
      </c>
      <c r="G25" s="5">
        <f>+C25/E25</f>
        <v>3.5406337554453331</v>
      </c>
      <c r="H25" s="5">
        <f>+D25/F25</f>
        <v>2.114407299371277</v>
      </c>
      <c r="I25" s="1">
        <v>14262</v>
      </c>
      <c r="J25" s="1">
        <v>252204</v>
      </c>
      <c r="K25">
        <v>0.57040000000000002</v>
      </c>
      <c r="L25">
        <v>0.95509999999999995</v>
      </c>
      <c r="M25">
        <v>0.59719999999999995</v>
      </c>
      <c r="N25">
        <f t="shared" si="0"/>
        <v>10616702</v>
      </c>
      <c r="O25">
        <f t="shared" si="1"/>
        <v>7482047</v>
      </c>
      <c r="P25">
        <f t="shared" si="2"/>
        <v>3134655</v>
      </c>
    </row>
    <row r="26" spans="1:16" x14ac:dyDescent="0.35">
      <c r="A26" t="s">
        <v>64</v>
      </c>
      <c r="B26">
        <v>3544</v>
      </c>
      <c r="C26">
        <v>15840500</v>
      </c>
      <c r="D26">
        <v>7420500</v>
      </c>
      <c r="E26">
        <v>4672624</v>
      </c>
      <c r="F26">
        <v>2237675</v>
      </c>
      <c r="G26" s="5">
        <f>+C26/E26</f>
        <v>3.3900651967716642</v>
      </c>
      <c r="H26" s="5">
        <f>+D26/F26</f>
        <v>3.3161652161283475</v>
      </c>
      <c r="I26">
        <v>7.3899999999999993E-2</v>
      </c>
      <c r="J26" s="1">
        <v>1102</v>
      </c>
      <c r="K26">
        <v>0.46850000000000003</v>
      </c>
      <c r="L26">
        <v>0.47889999999999999</v>
      </c>
      <c r="M26">
        <v>0.97829999999999995</v>
      </c>
      <c r="N26">
        <f t="shared" si="0"/>
        <v>16350701</v>
      </c>
      <c r="O26">
        <f t="shared" si="1"/>
        <v>11167876</v>
      </c>
      <c r="P26">
        <f t="shared" si="2"/>
        <v>5182825</v>
      </c>
    </row>
    <row r="27" spans="1:16" x14ac:dyDescent="0.35">
      <c r="A27" t="s">
        <v>67</v>
      </c>
      <c r="B27">
        <v>3544</v>
      </c>
      <c r="C27">
        <v>10971500</v>
      </c>
      <c r="D27">
        <v>3270500</v>
      </c>
      <c r="E27">
        <v>3302494</v>
      </c>
      <c r="F27">
        <v>3248276</v>
      </c>
      <c r="G27" s="5">
        <f>+C27/E27</f>
        <v>3.3221862023064994</v>
      </c>
      <c r="H27" s="5">
        <f>+D27/F27</f>
        <v>1.0068417831489689</v>
      </c>
      <c r="I27" s="1">
        <v>23153</v>
      </c>
      <c r="J27" s="1">
        <v>534842</v>
      </c>
      <c r="K27">
        <v>0.29809999999999998</v>
      </c>
      <c r="L27">
        <v>0.98360000000000003</v>
      </c>
      <c r="M27">
        <v>0.30309999999999998</v>
      </c>
      <c r="N27">
        <f t="shared" si="0"/>
        <v>7691230</v>
      </c>
      <c r="O27">
        <f t="shared" si="1"/>
        <v>7669006</v>
      </c>
      <c r="P27">
        <f t="shared" si="2"/>
        <v>22224</v>
      </c>
    </row>
    <row r="28" spans="1:16" x14ac:dyDescent="0.35">
      <c r="A28" t="s">
        <v>32</v>
      </c>
      <c r="B28">
        <v>2534</v>
      </c>
      <c r="C28">
        <v>30146500</v>
      </c>
      <c r="D28">
        <v>18557000</v>
      </c>
      <c r="E28">
        <v>9084764</v>
      </c>
      <c r="F28">
        <v>8691107</v>
      </c>
      <c r="G28" s="5">
        <f>+C28/E28</f>
        <v>3.3183580773259491</v>
      </c>
      <c r="H28" s="5">
        <f>+D28/F28</f>
        <v>2.1351710432284401</v>
      </c>
      <c r="I28" s="1">
        <v>11832</v>
      </c>
      <c r="J28" s="1">
        <v>216958</v>
      </c>
      <c r="K28">
        <v>0.61560000000000004</v>
      </c>
      <c r="L28">
        <v>0.95669999999999999</v>
      </c>
      <c r="M28">
        <v>0.64349999999999996</v>
      </c>
      <c r="N28">
        <f t="shared" si="0"/>
        <v>30927629</v>
      </c>
      <c r="O28">
        <f t="shared" si="1"/>
        <v>21061736</v>
      </c>
      <c r="P28">
        <f t="shared" si="2"/>
        <v>9865893</v>
      </c>
    </row>
    <row r="29" spans="1:16" x14ac:dyDescent="0.35">
      <c r="A29" t="s">
        <v>62</v>
      </c>
      <c r="B29">
        <v>2534</v>
      </c>
      <c r="C29">
        <v>1902500</v>
      </c>
      <c r="D29">
        <v>619500</v>
      </c>
      <c r="E29">
        <v>575137</v>
      </c>
      <c r="F29">
        <v>173708</v>
      </c>
      <c r="G29" s="5">
        <f>+C29/E29</f>
        <v>3.307907507254793</v>
      </c>
      <c r="H29" s="5">
        <f>+D29/F29</f>
        <v>3.5663297027195062</v>
      </c>
      <c r="I29">
        <v>-0.25840000000000002</v>
      </c>
      <c r="J29" s="1">
        <v>-37593</v>
      </c>
      <c r="K29">
        <v>0.3256</v>
      </c>
      <c r="L29">
        <v>0.30199999999999999</v>
      </c>
      <c r="M29" s="1">
        <v>10781</v>
      </c>
      <c r="N29">
        <f t="shared" si="0"/>
        <v>1773155</v>
      </c>
      <c r="O29">
        <f t="shared" si="1"/>
        <v>1327363</v>
      </c>
      <c r="P29">
        <f t="shared" si="2"/>
        <v>445792</v>
      </c>
    </row>
    <row r="30" spans="1:16" x14ac:dyDescent="0.35">
      <c r="A30" t="s">
        <v>41</v>
      </c>
      <c r="B30">
        <v>2024</v>
      </c>
      <c r="C30">
        <v>6823000</v>
      </c>
      <c r="D30">
        <v>5119000</v>
      </c>
      <c r="E30">
        <v>2208780</v>
      </c>
      <c r="F30">
        <v>2115100</v>
      </c>
      <c r="G30" s="5">
        <f>+C30/E30</f>
        <v>3.0890355762004362</v>
      </c>
      <c r="H30" s="5">
        <f>+D30/F30</f>
        <v>2.420216538225143</v>
      </c>
      <c r="I30">
        <v>0.66879999999999995</v>
      </c>
      <c r="J30" s="1">
        <v>121399</v>
      </c>
      <c r="K30">
        <v>0.75029999999999997</v>
      </c>
      <c r="L30">
        <v>0.95760000000000001</v>
      </c>
      <c r="M30">
        <v>0.78349999999999997</v>
      </c>
      <c r="N30">
        <f t="shared" si="0"/>
        <v>7618120</v>
      </c>
      <c r="O30">
        <f t="shared" si="1"/>
        <v>4614220</v>
      </c>
      <c r="P30">
        <f t="shared" si="2"/>
        <v>3003900</v>
      </c>
    </row>
    <row r="31" spans="1:16" x14ac:dyDescent="0.35">
      <c r="A31" t="s">
        <v>48</v>
      </c>
      <c r="B31">
        <v>2534</v>
      </c>
      <c r="C31">
        <v>1145000</v>
      </c>
      <c r="D31">
        <v>739500</v>
      </c>
      <c r="E31">
        <v>381295</v>
      </c>
      <c r="F31">
        <v>410512</v>
      </c>
      <c r="G31" s="5">
        <f>+C31/E31</f>
        <v>3.0029242450071467</v>
      </c>
      <c r="H31" s="5">
        <f>+D31/F31</f>
        <v>1.801408972210313</v>
      </c>
      <c r="I31" s="1">
        <v>12015</v>
      </c>
      <c r="J31" s="1">
        <v>25009</v>
      </c>
      <c r="K31">
        <v>0.64590000000000003</v>
      </c>
      <c r="L31" s="1">
        <v>10766</v>
      </c>
      <c r="M31">
        <v>0.59989999999999999</v>
      </c>
      <c r="N31">
        <f t="shared" si="0"/>
        <v>1092693</v>
      </c>
      <c r="O31">
        <f t="shared" si="1"/>
        <v>763705</v>
      </c>
      <c r="P31">
        <f t="shared" si="2"/>
        <v>328988</v>
      </c>
    </row>
    <row r="32" spans="1:16" x14ac:dyDescent="0.35">
      <c r="A32" t="s">
        <v>21</v>
      </c>
      <c r="B32">
        <v>2534</v>
      </c>
      <c r="C32">
        <v>1561500</v>
      </c>
      <c r="D32">
        <v>1083000</v>
      </c>
      <c r="E32">
        <v>535411</v>
      </c>
      <c r="F32">
        <v>509978</v>
      </c>
      <c r="G32" s="5">
        <f>+C32/E32</f>
        <v>2.9164511001828504</v>
      </c>
      <c r="H32" s="5">
        <f>+D32/F32</f>
        <v>2.1236210189459155</v>
      </c>
      <c r="I32">
        <v>0.79279999999999995</v>
      </c>
      <c r="J32" s="1">
        <v>157305</v>
      </c>
      <c r="K32">
        <v>0.69359999999999999</v>
      </c>
      <c r="L32">
        <v>0.95250000000000001</v>
      </c>
      <c r="M32">
        <v>0.72819999999999996</v>
      </c>
      <c r="N32">
        <f t="shared" si="0"/>
        <v>1599111</v>
      </c>
      <c r="O32">
        <f t="shared" si="1"/>
        <v>1026089</v>
      </c>
      <c r="P32">
        <f t="shared" si="2"/>
        <v>573022</v>
      </c>
    </row>
    <row r="33" spans="1:16" x14ac:dyDescent="0.35">
      <c r="A33" t="s">
        <v>41</v>
      </c>
      <c r="B33">
        <v>2534</v>
      </c>
      <c r="C33">
        <v>10574000</v>
      </c>
      <c r="D33">
        <v>6460500</v>
      </c>
      <c r="E33">
        <v>3761704</v>
      </c>
      <c r="F33">
        <v>3654815</v>
      </c>
      <c r="G33" s="5">
        <f>+C33/E33</f>
        <v>2.8109601393411072</v>
      </c>
      <c r="H33" s="5">
        <f>+D33/F33</f>
        <v>1.7676681309450684</v>
      </c>
      <c r="I33" s="1">
        <v>10433</v>
      </c>
      <c r="J33" s="1">
        <v>227861</v>
      </c>
      <c r="K33">
        <v>0.61099999999999999</v>
      </c>
      <c r="L33">
        <v>0.97160000000000002</v>
      </c>
      <c r="M33">
        <v>0.62890000000000001</v>
      </c>
      <c r="N33">
        <f t="shared" si="0"/>
        <v>9617981</v>
      </c>
      <c r="O33">
        <f t="shared" si="1"/>
        <v>6812296</v>
      </c>
      <c r="P33">
        <f t="shared" si="2"/>
        <v>2805685</v>
      </c>
    </row>
    <row r="34" spans="1:16" x14ac:dyDescent="0.35">
      <c r="A34" t="s">
        <v>44</v>
      </c>
      <c r="B34">
        <v>2534</v>
      </c>
      <c r="C34">
        <v>3663500</v>
      </c>
      <c r="D34">
        <v>2552500</v>
      </c>
      <c r="E34">
        <v>1375828</v>
      </c>
      <c r="F34">
        <v>1338288</v>
      </c>
      <c r="G34" s="5">
        <f>+C34/E34</f>
        <v>2.6627601706027209</v>
      </c>
      <c r="H34" s="5">
        <f>+D34/F34</f>
        <v>1.907287519577251</v>
      </c>
      <c r="I34">
        <v>0.75549999999999995</v>
      </c>
      <c r="J34" s="1">
        <v>16531</v>
      </c>
      <c r="K34">
        <v>0.69669999999999999</v>
      </c>
      <c r="L34">
        <v>0.97270000000000001</v>
      </c>
      <c r="M34">
        <v>0.71630000000000005</v>
      </c>
      <c r="N34">
        <f t="shared" si="0"/>
        <v>3501884</v>
      </c>
      <c r="O34">
        <f t="shared" si="1"/>
        <v>2287672</v>
      </c>
      <c r="P34">
        <f t="shared" si="2"/>
        <v>1214212</v>
      </c>
    </row>
    <row r="35" spans="1:16" x14ac:dyDescent="0.35">
      <c r="A35" t="s">
        <v>48</v>
      </c>
      <c r="B35">
        <v>2024</v>
      </c>
      <c r="C35">
        <v>659500</v>
      </c>
      <c r="D35">
        <v>538500</v>
      </c>
      <c r="E35">
        <v>253410</v>
      </c>
      <c r="F35">
        <v>227905</v>
      </c>
      <c r="G35" s="5">
        <f>+C35/E35</f>
        <v>2.6025018744327375</v>
      </c>
      <c r="H35" s="5">
        <f>+D35/F35</f>
        <v>2.3628266163533049</v>
      </c>
      <c r="I35">
        <v>0.2397</v>
      </c>
      <c r="J35" s="1">
        <v>4827</v>
      </c>
      <c r="K35">
        <v>0.8165</v>
      </c>
      <c r="L35">
        <v>0.89939999999999998</v>
      </c>
      <c r="M35">
        <v>0.90780000000000005</v>
      </c>
      <c r="N35">
        <f t="shared" si="0"/>
        <v>716685</v>
      </c>
      <c r="O35">
        <f t="shared" si="1"/>
        <v>406090</v>
      </c>
      <c r="P35">
        <f t="shared" si="2"/>
        <v>310595</v>
      </c>
    </row>
    <row r="36" spans="1:16" x14ac:dyDescent="0.35">
      <c r="A36" t="s">
        <v>64</v>
      </c>
      <c r="B36" t="s">
        <v>14</v>
      </c>
      <c r="C36">
        <v>3093000</v>
      </c>
      <c r="D36">
        <v>1844000</v>
      </c>
      <c r="E36">
        <v>1246086</v>
      </c>
      <c r="F36">
        <v>705958</v>
      </c>
      <c r="G36" s="5">
        <f>+C36/E36</f>
        <v>2.4821721775222576</v>
      </c>
      <c r="H36" s="5">
        <f>+D36/F36</f>
        <v>2.6120534082764131</v>
      </c>
      <c r="I36">
        <v>-0.12989999999999999</v>
      </c>
      <c r="J36" s="1">
        <v>-25496</v>
      </c>
      <c r="K36">
        <v>0.59619999999999995</v>
      </c>
      <c r="L36">
        <v>0.5665</v>
      </c>
      <c r="M36" s="1">
        <v>10524</v>
      </c>
      <c r="N36">
        <f t="shared" si="0"/>
        <v>2984956</v>
      </c>
      <c r="O36">
        <f t="shared" si="1"/>
        <v>1846914</v>
      </c>
      <c r="P36">
        <f t="shared" si="2"/>
        <v>1138042</v>
      </c>
    </row>
    <row r="37" spans="1:16" x14ac:dyDescent="0.35">
      <c r="A37" t="s">
        <v>13</v>
      </c>
      <c r="B37">
        <v>3544</v>
      </c>
      <c r="C37">
        <v>4395000</v>
      </c>
      <c r="D37">
        <v>1921500</v>
      </c>
      <c r="E37">
        <v>1789489</v>
      </c>
      <c r="F37">
        <v>855313</v>
      </c>
      <c r="G37" s="5">
        <f>+C37/E37</f>
        <v>2.4560083912222987</v>
      </c>
      <c r="H37" s="5">
        <f>+D37/F37</f>
        <v>2.2465460012884173</v>
      </c>
      <c r="I37">
        <v>0.20949999999999999</v>
      </c>
      <c r="J37" s="1">
        <v>44542</v>
      </c>
      <c r="K37">
        <v>0.43719999999999998</v>
      </c>
      <c r="L37">
        <v>0.47799999999999998</v>
      </c>
      <c r="M37">
        <v>0.91459999999999997</v>
      </c>
      <c r="N37">
        <f t="shared" si="0"/>
        <v>3671698</v>
      </c>
      <c r="O37">
        <f t="shared" si="1"/>
        <v>2605511</v>
      </c>
      <c r="P37">
        <f t="shared" si="2"/>
        <v>1066187</v>
      </c>
    </row>
    <row r="38" spans="1:16" x14ac:dyDescent="0.35">
      <c r="A38" t="s">
        <v>51</v>
      </c>
      <c r="B38">
        <v>2534</v>
      </c>
      <c r="C38">
        <v>25376000</v>
      </c>
      <c r="D38">
        <v>17710500</v>
      </c>
      <c r="E38">
        <v>10370957</v>
      </c>
      <c r="F38">
        <v>10649238</v>
      </c>
      <c r="G38" s="5">
        <f>+C38/E38</f>
        <v>2.4468330164709005</v>
      </c>
      <c r="H38" s="5">
        <f>+D38/F38</f>
        <v>1.6630767384483285</v>
      </c>
      <c r="I38">
        <v>0.78380000000000005</v>
      </c>
      <c r="J38" s="1">
        <v>190699</v>
      </c>
      <c r="K38">
        <v>0.69789999999999996</v>
      </c>
      <c r="L38" s="1">
        <v>10268</v>
      </c>
      <c r="M38">
        <v>0.67969999999999997</v>
      </c>
      <c r="N38">
        <f t="shared" si="0"/>
        <v>22066305</v>
      </c>
      <c r="O38">
        <f t="shared" si="1"/>
        <v>15005043</v>
      </c>
      <c r="P38">
        <f t="shared" si="2"/>
        <v>7061262</v>
      </c>
    </row>
    <row r="39" spans="1:16" x14ac:dyDescent="0.35">
      <c r="A39" t="s">
        <v>70</v>
      </c>
      <c r="B39">
        <v>3544</v>
      </c>
      <c r="C39">
        <v>12319500</v>
      </c>
      <c r="D39">
        <v>11845000</v>
      </c>
      <c r="E39">
        <v>5107335</v>
      </c>
      <c r="F39">
        <v>5180467</v>
      </c>
      <c r="G39" s="5">
        <f>+C39/E39</f>
        <v>2.4121190405563762</v>
      </c>
      <c r="H39" s="5">
        <f>+D39/F39</f>
        <v>2.286473400950146</v>
      </c>
      <c r="I39">
        <v>0.12559999999999999</v>
      </c>
      <c r="J39" s="1">
        <v>26741</v>
      </c>
      <c r="K39">
        <v>0.96150000000000002</v>
      </c>
      <c r="L39" s="1">
        <v>10143</v>
      </c>
      <c r="M39">
        <v>0.94789999999999996</v>
      </c>
      <c r="N39">
        <f t="shared" si="0"/>
        <v>13876698</v>
      </c>
      <c r="O39">
        <f t="shared" si="1"/>
        <v>7212165</v>
      </c>
      <c r="P39">
        <f t="shared" si="2"/>
        <v>6664533</v>
      </c>
    </row>
    <row r="40" spans="1:16" x14ac:dyDescent="0.35">
      <c r="A40" t="s">
        <v>30</v>
      </c>
      <c r="B40">
        <v>2024</v>
      </c>
      <c r="C40">
        <v>1171500</v>
      </c>
      <c r="D40">
        <v>1040500</v>
      </c>
      <c r="E40">
        <v>489525</v>
      </c>
      <c r="F40">
        <v>472116</v>
      </c>
      <c r="G40" s="5">
        <f>+C40/E40</f>
        <v>2.3931362034625403</v>
      </c>
      <c r="H40" s="5">
        <f>+D40/F40</f>
        <v>2.2039075142549711</v>
      </c>
      <c r="I40">
        <v>0.18920000000000001</v>
      </c>
      <c r="J40" s="1">
        <v>41163</v>
      </c>
      <c r="K40">
        <v>0.88819999999999999</v>
      </c>
      <c r="L40">
        <v>0.96440000000000003</v>
      </c>
      <c r="M40">
        <v>0.92100000000000004</v>
      </c>
      <c r="N40">
        <f t="shared" si="0"/>
        <v>1250359</v>
      </c>
      <c r="O40">
        <f t="shared" si="1"/>
        <v>681975</v>
      </c>
      <c r="P40">
        <f t="shared" si="2"/>
        <v>568384</v>
      </c>
    </row>
    <row r="41" spans="1:16" x14ac:dyDescent="0.35">
      <c r="A41" t="s">
        <v>22</v>
      </c>
      <c r="B41">
        <v>2024</v>
      </c>
      <c r="C41">
        <v>1363000</v>
      </c>
      <c r="D41">
        <v>1328500</v>
      </c>
      <c r="E41">
        <v>570400</v>
      </c>
      <c r="F41">
        <v>557241</v>
      </c>
      <c r="G41" s="5">
        <f>+C41/E41</f>
        <v>2.3895511921458628</v>
      </c>
      <c r="H41" s="5">
        <f>+D41/F41</f>
        <v>2.3840672168774373</v>
      </c>
      <c r="I41">
        <v>5.4999999999999997E-3</v>
      </c>
      <c r="J41">
        <v>0.1149</v>
      </c>
      <c r="K41">
        <v>0.97470000000000001</v>
      </c>
      <c r="L41">
        <v>0.97689999999999999</v>
      </c>
      <c r="M41">
        <v>0.99770000000000003</v>
      </c>
      <c r="N41">
        <f t="shared" si="0"/>
        <v>1563859</v>
      </c>
      <c r="O41">
        <f t="shared" si="1"/>
        <v>792600</v>
      </c>
      <c r="P41">
        <f t="shared" si="2"/>
        <v>771259</v>
      </c>
    </row>
    <row r="42" spans="1:16" x14ac:dyDescent="0.35">
      <c r="A42" t="s">
        <v>17</v>
      </c>
      <c r="B42">
        <v>2024</v>
      </c>
      <c r="C42">
        <v>807500</v>
      </c>
      <c r="D42">
        <v>845500</v>
      </c>
      <c r="E42">
        <v>343570</v>
      </c>
      <c r="F42">
        <v>312059</v>
      </c>
      <c r="G42" s="5">
        <f>+C42/E42</f>
        <v>2.3503216229589312</v>
      </c>
      <c r="H42" s="5">
        <f>+D42/F42</f>
        <v>2.7094235384975276</v>
      </c>
      <c r="I42">
        <v>-0.35909999999999997</v>
      </c>
      <c r="J42" s="1">
        <v>-70972</v>
      </c>
      <c r="K42" s="1">
        <v>10471</v>
      </c>
      <c r="L42">
        <v>0.9083</v>
      </c>
      <c r="M42" s="1">
        <v>11528</v>
      </c>
      <c r="N42">
        <f t="shared" si="0"/>
        <v>997371</v>
      </c>
      <c r="O42">
        <f t="shared" si="1"/>
        <v>463930</v>
      </c>
      <c r="P42">
        <f t="shared" si="2"/>
        <v>533441</v>
      </c>
    </row>
    <row r="43" spans="1:16" x14ac:dyDescent="0.35">
      <c r="A43" t="s">
        <v>31</v>
      </c>
      <c r="B43">
        <v>2024</v>
      </c>
      <c r="C43">
        <v>3553000</v>
      </c>
      <c r="D43">
        <v>2885000</v>
      </c>
      <c r="E43">
        <v>1518850</v>
      </c>
      <c r="F43">
        <v>1460841</v>
      </c>
      <c r="G43" s="5">
        <f>+C43/E43</f>
        <v>2.3392698423149092</v>
      </c>
      <c r="H43" s="5">
        <f>+D43/F43</f>
        <v>1.974889806625088</v>
      </c>
      <c r="I43">
        <v>0.3644</v>
      </c>
      <c r="J43" s="1">
        <v>84461</v>
      </c>
      <c r="K43">
        <v>0.81200000000000006</v>
      </c>
      <c r="L43">
        <v>0.96179999999999999</v>
      </c>
      <c r="M43">
        <v>0.84430000000000005</v>
      </c>
      <c r="N43">
        <f t="shared" si="0"/>
        <v>3458309</v>
      </c>
      <c r="O43">
        <f t="shared" si="1"/>
        <v>2034150</v>
      </c>
      <c r="P43">
        <f t="shared" si="2"/>
        <v>1424159</v>
      </c>
    </row>
    <row r="44" spans="1:16" x14ac:dyDescent="0.35">
      <c r="A44" t="s">
        <v>32</v>
      </c>
      <c r="B44" t="s">
        <v>14</v>
      </c>
      <c r="C44">
        <v>9394000</v>
      </c>
      <c r="D44">
        <v>2822500</v>
      </c>
      <c r="E44">
        <v>4054198</v>
      </c>
      <c r="F44">
        <v>4160093</v>
      </c>
      <c r="G44" s="5">
        <f>+C44/E44</f>
        <v>2.3171043940133167</v>
      </c>
      <c r="H44" s="5">
        <f>+D44/F44</f>
        <v>0.67847040919517909</v>
      </c>
      <c r="I44" s="1">
        <v>16386</v>
      </c>
      <c r="J44" s="1">
        <v>547018</v>
      </c>
      <c r="K44">
        <v>0.30049999999999999</v>
      </c>
      <c r="L44" s="1">
        <v>10261</v>
      </c>
      <c r="M44">
        <v>0.29289999999999999</v>
      </c>
      <c r="N44">
        <f t="shared" si="0"/>
        <v>4002209</v>
      </c>
      <c r="O44">
        <f t="shared" si="1"/>
        <v>5339802</v>
      </c>
      <c r="P44">
        <f t="shared" si="2"/>
        <v>-1337593</v>
      </c>
    </row>
    <row r="45" spans="1:16" x14ac:dyDescent="0.35">
      <c r="A45" t="s">
        <v>26</v>
      </c>
      <c r="B45">
        <v>2534</v>
      </c>
      <c r="C45">
        <v>941500</v>
      </c>
      <c r="D45">
        <v>720500</v>
      </c>
      <c r="E45">
        <v>408969</v>
      </c>
      <c r="F45">
        <v>397302</v>
      </c>
      <c r="G45" s="5">
        <f>+C45/E45</f>
        <v>2.3021304793272841</v>
      </c>
      <c r="H45" s="5">
        <f>+D45/F45</f>
        <v>1.8134819356559997</v>
      </c>
      <c r="I45">
        <v>0.48859999999999998</v>
      </c>
      <c r="J45" s="1">
        <v>11873</v>
      </c>
      <c r="K45">
        <v>0.76529999999999998</v>
      </c>
      <c r="L45">
        <v>0.97150000000000003</v>
      </c>
      <c r="M45">
        <v>0.78779999999999994</v>
      </c>
      <c r="N45">
        <f t="shared" si="0"/>
        <v>855729</v>
      </c>
      <c r="O45">
        <f t="shared" si="1"/>
        <v>532531</v>
      </c>
      <c r="P45">
        <f t="shared" si="2"/>
        <v>323198</v>
      </c>
    </row>
    <row r="46" spans="1:16" x14ac:dyDescent="0.35">
      <c r="A46" t="s">
        <v>26</v>
      </c>
      <c r="B46">
        <v>2024</v>
      </c>
      <c r="C46">
        <v>433000</v>
      </c>
      <c r="D46">
        <v>460500</v>
      </c>
      <c r="E46">
        <v>188626</v>
      </c>
      <c r="F46">
        <v>181283</v>
      </c>
      <c r="G46" s="5">
        <f>+C46/E46</f>
        <v>2.2955478035901731</v>
      </c>
      <c r="H46" s="5">
        <f>+D46/F46</f>
        <v>2.5402271586414611</v>
      </c>
      <c r="I46">
        <v>-0.2447</v>
      </c>
      <c r="J46" s="1">
        <v>-50598</v>
      </c>
      <c r="K46" s="1">
        <v>10635</v>
      </c>
      <c r="L46">
        <v>0.96109999999999995</v>
      </c>
      <c r="M46" s="1">
        <v>11065</v>
      </c>
      <c r="N46">
        <f t="shared" si="0"/>
        <v>523591</v>
      </c>
      <c r="O46">
        <f t="shared" si="1"/>
        <v>244374</v>
      </c>
      <c r="P46">
        <f t="shared" si="2"/>
        <v>279217</v>
      </c>
    </row>
    <row r="47" spans="1:16" x14ac:dyDescent="0.35">
      <c r="A47" t="s">
        <v>51</v>
      </c>
      <c r="B47">
        <v>2024</v>
      </c>
      <c r="C47">
        <v>12354000</v>
      </c>
      <c r="D47">
        <v>12700500</v>
      </c>
      <c r="E47">
        <v>5598363</v>
      </c>
      <c r="F47">
        <v>5502324</v>
      </c>
      <c r="G47" s="5">
        <f>+C47/E47</f>
        <v>2.206716499090895</v>
      </c>
      <c r="H47" s="5">
        <f>+D47/F47</f>
        <v>2.3082064960187734</v>
      </c>
      <c r="I47">
        <v>-0.10150000000000001</v>
      </c>
      <c r="J47" s="1">
        <v>-22479</v>
      </c>
      <c r="K47" s="1">
        <v>1028</v>
      </c>
      <c r="L47">
        <v>0.98280000000000001</v>
      </c>
      <c r="M47" s="1">
        <v>1046</v>
      </c>
      <c r="N47">
        <f t="shared" si="0"/>
        <v>13953813</v>
      </c>
      <c r="O47">
        <f t="shared" si="1"/>
        <v>6755637</v>
      </c>
      <c r="P47">
        <f t="shared" si="2"/>
        <v>7198176</v>
      </c>
    </row>
    <row r="48" spans="1:16" x14ac:dyDescent="0.35">
      <c r="A48" t="s">
        <v>30</v>
      </c>
      <c r="B48">
        <v>2534</v>
      </c>
      <c r="C48">
        <v>1980500</v>
      </c>
      <c r="D48">
        <v>1338500</v>
      </c>
      <c r="E48">
        <v>918855</v>
      </c>
      <c r="F48">
        <v>898684</v>
      </c>
      <c r="G48" s="5">
        <f>+C48/E48</f>
        <v>2.1553999270831632</v>
      </c>
      <c r="H48" s="5">
        <f>+D48/F48</f>
        <v>1.4894000560820044</v>
      </c>
      <c r="I48">
        <v>0.66600000000000004</v>
      </c>
      <c r="J48" s="1">
        <v>182726</v>
      </c>
      <c r="K48">
        <v>0.67579999999999996</v>
      </c>
      <c r="L48">
        <v>0.97799999999999998</v>
      </c>
      <c r="M48">
        <v>0.69099999999999995</v>
      </c>
      <c r="N48">
        <f t="shared" si="0"/>
        <v>1501461</v>
      </c>
      <c r="O48">
        <f t="shared" si="1"/>
        <v>1061645</v>
      </c>
      <c r="P48">
        <f t="shared" si="2"/>
        <v>439816</v>
      </c>
    </row>
    <row r="49" spans="1:16" x14ac:dyDescent="0.35">
      <c r="A49" t="s">
        <v>20</v>
      </c>
      <c r="B49">
        <v>2024</v>
      </c>
      <c r="C49">
        <v>148000</v>
      </c>
      <c r="D49">
        <v>117000</v>
      </c>
      <c r="E49">
        <v>68725</v>
      </c>
      <c r="F49">
        <v>42445</v>
      </c>
      <c r="G49" s="5">
        <f>+C49/E49</f>
        <v>2.1535103674063296</v>
      </c>
      <c r="H49" s="5">
        <f>+D49/F49</f>
        <v>2.7565084226646248</v>
      </c>
      <c r="I49">
        <v>-0.60299999999999998</v>
      </c>
      <c r="J49" s="1">
        <v>-12281</v>
      </c>
      <c r="K49">
        <v>0.79049999999999998</v>
      </c>
      <c r="L49">
        <v>0.61760000000000004</v>
      </c>
      <c r="M49" s="2" t="s">
        <v>73</v>
      </c>
      <c r="N49">
        <f t="shared" si="0"/>
        <v>153830</v>
      </c>
      <c r="O49">
        <f t="shared" si="1"/>
        <v>79275</v>
      </c>
      <c r="P49">
        <f t="shared" si="2"/>
        <v>74555</v>
      </c>
    </row>
    <row r="50" spans="1:16" x14ac:dyDescent="0.35">
      <c r="A50" t="s">
        <v>68</v>
      </c>
      <c r="B50">
        <v>2534</v>
      </c>
      <c r="C50">
        <v>543500</v>
      </c>
      <c r="D50">
        <v>394000</v>
      </c>
      <c r="E50">
        <v>253103</v>
      </c>
      <c r="F50">
        <v>245124</v>
      </c>
      <c r="G50" s="5">
        <f>+C50/E50</f>
        <v>2.1473471274540405</v>
      </c>
      <c r="H50" s="5">
        <f>+D50/F50</f>
        <v>1.6073497495145315</v>
      </c>
      <c r="I50">
        <v>0.54</v>
      </c>
      <c r="J50" s="1">
        <v>143819</v>
      </c>
      <c r="K50">
        <v>0.72489999999999999</v>
      </c>
      <c r="L50">
        <v>0.96850000000000003</v>
      </c>
      <c r="M50">
        <v>0.74850000000000005</v>
      </c>
      <c r="N50">
        <f t="shared" si="0"/>
        <v>439273</v>
      </c>
      <c r="O50">
        <f t="shared" si="1"/>
        <v>290397</v>
      </c>
      <c r="P50">
        <f t="shared" si="2"/>
        <v>148876</v>
      </c>
    </row>
    <row r="51" spans="1:16" x14ac:dyDescent="0.35">
      <c r="A51" t="s">
        <v>61</v>
      </c>
      <c r="B51">
        <v>2024</v>
      </c>
      <c r="C51">
        <v>625000</v>
      </c>
      <c r="D51">
        <v>604000</v>
      </c>
      <c r="E51">
        <v>291883</v>
      </c>
      <c r="F51">
        <v>281492</v>
      </c>
      <c r="G51" s="5">
        <f>+C51/E51</f>
        <v>2.1412689330999064</v>
      </c>
      <c r="H51" s="5">
        <f>+D51/F51</f>
        <v>2.1457092919159337</v>
      </c>
      <c r="I51">
        <v>-4.4000000000000003E-3</v>
      </c>
      <c r="J51">
        <v>-0.1036</v>
      </c>
      <c r="K51">
        <v>0.96640000000000004</v>
      </c>
      <c r="L51">
        <v>0.96440000000000003</v>
      </c>
      <c r="M51" s="1">
        <v>10021</v>
      </c>
      <c r="N51">
        <f t="shared" si="0"/>
        <v>655625</v>
      </c>
      <c r="O51">
        <f t="shared" si="1"/>
        <v>333117</v>
      </c>
      <c r="P51">
        <f t="shared" si="2"/>
        <v>322508</v>
      </c>
    </row>
    <row r="52" spans="1:16" x14ac:dyDescent="0.35">
      <c r="A52" t="s">
        <v>68</v>
      </c>
      <c r="B52">
        <v>2024</v>
      </c>
      <c r="C52">
        <v>259500</v>
      </c>
      <c r="D52">
        <v>290500</v>
      </c>
      <c r="E52">
        <v>122252</v>
      </c>
      <c r="F52">
        <v>117352</v>
      </c>
      <c r="G52" s="5">
        <f>+C52/E52</f>
        <v>2.1226646598828651</v>
      </c>
      <c r="H52" s="5">
        <f>+D52/F52</f>
        <v>2.4754584497920784</v>
      </c>
      <c r="I52">
        <v>-0.3528</v>
      </c>
      <c r="J52" s="1">
        <v>-76726</v>
      </c>
      <c r="K52" s="1">
        <v>11195</v>
      </c>
      <c r="L52">
        <v>0.95989999999999998</v>
      </c>
      <c r="M52" s="1">
        <v>11663</v>
      </c>
      <c r="N52">
        <f t="shared" si="0"/>
        <v>310396</v>
      </c>
      <c r="O52">
        <f t="shared" si="1"/>
        <v>137248</v>
      </c>
      <c r="P52">
        <f t="shared" si="2"/>
        <v>173148</v>
      </c>
    </row>
    <row r="53" spans="1:16" x14ac:dyDescent="0.35">
      <c r="A53" t="s">
        <v>17</v>
      </c>
      <c r="B53">
        <v>2534</v>
      </c>
      <c r="C53">
        <v>1637000</v>
      </c>
      <c r="D53">
        <v>1216500</v>
      </c>
      <c r="E53">
        <v>780854</v>
      </c>
      <c r="F53">
        <v>814482</v>
      </c>
      <c r="G53" s="5">
        <f>+C53/E53</f>
        <v>2.0964226347050792</v>
      </c>
      <c r="H53" s="5">
        <f>+D53/F53</f>
        <v>1.4935873352633944</v>
      </c>
      <c r="I53">
        <v>0.6028</v>
      </c>
      <c r="J53" s="1">
        <v>16792</v>
      </c>
      <c r="K53">
        <v>0.74309999999999998</v>
      </c>
      <c r="L53" s="1">
        <v>10431</v>
      </c>
      <c r="M53">
        <v>0.71240000000000003</v>
      </c>
      <c r="N53">
        <f t="shared" si="0"/>
        <v>1258164</v>
      </c>
      <c r="O53">
        <f t="shared" si="1"/>
        <v>856146</v>
      </c>
      <c r="P53">
        <f t="shared" si="2"/>
        <v>402018</v>
      </c>
    </row>
    <row r="54" spans="1:16" x14ac:dyDescent="0.35">
      <c r="A54" t="s">
        <v>31</v>
      </c>
      <c r="B54">
        <v>2534</v>
      </c>
      <c r="C54">
        <v>6864000</v>
      </c>
      <c r="D54">
        <v>3918000</v>
      </c>
      <c r="E54">
        <v>3276483</v>
      </c>
      <c r="F54">
        <v>3091191</v>
      </c>
      <c r="G54" s="5">
        <f>+C54/E54</f>
        <v>2.0949292274673788</v>
      </c>
      <c r="H54" s="5">
        <f>+D54/F54</f>
        <v>1.2674726343341449</v>
      </c>
      <c r="I54">
        <v>0.82750000000000001</v>
      </c>
      <c r="J54" s="1">
        <v>246091</v>
      </c>
      <c r="K54">
        <v>0.57079999999999997</v>
      </c>
      <c r="L54">
        <v>0.94340000000000002</v>
      </c>
      <c r="M54">
        <v>0.60499999999999998</v>
      </c>
      <c r="N54">
        <f t="shared" si="0"/>
        <v>4414326</v>
      </c>
      <c r="O54">
        <f t="shared" si="1"/>
        <v>3587517</v>
      </c>
      <c r="P54">
        <f t="shared" si="2"/>
        <v>826809</v>
      </c>
    </row>
    <row r="55" spans="1:16" x14ac:dyDescent="0.35">
      <c r="A55" t="s">
        <v>57</v>
      </c>
      <c r="B55">
        <v>2024</v>
      </c>
      <c r="C55">
        <v>383500</v>
      </c>
      <c r="D55">
        <v>391500</v>
      </c>
      <c r="E55">
        <v>183117</v>
      </c>
      <c r="F55">
        <v>176351</v>
      </c>
      <c r="G55" s="5">
        <f>+C55/E55</f>
        <v>2.0942894433613484</v>
      </c>
      <c r="H55" s="5">
        <f>+D55/F55</f>
        <v>2.2200044229973179</v>
      </c>
      <c r="I55">
        <v>-0.12570000000000001</v>
      </c>
      <c r="J55" s="1">
        <v>-29139</v>
      </c>
      <c r="K55" s="1">
        <v>10209</v>
      </c>
      <c r="L55">
        <v>0.96309999999999996</v>
      </c>
      <c r="M55" s="3" t="s">
        <v>77</v>
      </c>
      <c r="N55">
        <f t="shared" si="0"/>
        <v>415532</v>
      </c>
      <c r="O55">
        <f t="shared" si="1"/>
        <v>200383</v>
      </c>
      <c r="P55">
        <f t="shared" si="2"/>
        <v>215149</v>
      </c>
    </row>
    <row r="56" spans="1:16" x14ac:dyDescent="0.35">
      <c r="A56" t="s">
        <v>57</v>
      </c>
      <c r="B56">
        <v>2534</v>
      </c>
      <c r="C56">
        <v>720500</v>
      </c>
      <c r="D56">
        <v>534000</v>
      </c>
      <c r="E56">
        <v>347437</v>
      </c>
      <c r="F56">
        <v>339770</v>
      </c>
      <c r="G56" s="5">
        <f>+C56/E56</f>
        <v>2.0737572567112887</v>
      </c>
      <c r="H56" s="5">
        <f>+D56/F56</f>
        <v>1.571651411248786</v>
      </c>
      <c r="I56">
        <v>0.50209999999999999</v>
      </c>
      <c r="J56" s="1">
        <v>137737</v>
      </c>
      <c r="K56">
        <v>0.74119999999999997</v>
      </c>
      <c r="L56">
        <v>0.97789999999999999</v>
      </c>
      <c r="M56">
        <v>0.75800000000000001</v>
      </c>
      <c r="N56">
        <f t="shared" si="0"/>
        <v>567293</v>
      </c>
      <c r="O56">
        <f t="shared" si="1"/>
        <v>373063</v>
      </c>
      <c r="P56">
        <f t="shared" si="2"/>
        <v>194230</v>
      </c>
    </row>
    <row r="57" spans="1:16" x14ac:dyDescent="0.35">
      <c r="A57" t="s">
        <v>38</v>
      </c>
      <c r="B57">
        <v>2024</v>
      </c>
      <c r="C57">
        <v>1882000</v>
      </c>
      <c r="D57">
        <v>1768500</v>
      </c>
      <c r="E57">
        <v>939890</v>
      </c>
      <c r="F57">
        <v>923662</v>
      </c>
      <c r="G57" s="5">
        <f>+C57/E57</f>
        <v>2.0023619785294025</v>
      </c>
      <c r="H57" s="5">
        <f>+D57/F57</f>
        <v>1.9146614237675688</v>
      </c>
      <c r="I57">
        <v>8.77E-2</v>
      </c>
      <c r="J57" s="1">
        <v>2239</v>
      </c>
      <c r="K57">
        <v>0.93969999999999998</v>
      </c>
      <c r="L57">
        <v>0.98270000000000002</v>
      </c>
      <c r="M57">
        <v>0.95620000000000005</v>
      </c>
      <c r="N57">
        <f t="shared" si="0"/>
        <v>1786948</v>
      </c>
      <c r="O57">
        <f t="shared" si="1"/>
        <v>942110</v>
      </c>
      <c r="P57">
        <f t="shared" si="2"/>
        <v>844838</v>
      </c>
    </row>
    <row r="58" spans="1:16" x14ac:dyDescent="0.35">
      <c r="A58" t="s">
        <v>22</v>
      </c>
      <c r="B58">
        <v>2534</v>
      </c>
      <c r="C58">
        <v>2096500</v>
      </c>
      <c r="D58">
        <v>1585000</v>
      </c>
      <c r="E58">
        <v>1059440</v>
      </c>
      <c r="F58">
        <v>1045102</v>
      </c>
      <c r="G58" s="5">
        <f>+C58/E58</f>
        <v>1.9788756324095749</v>
      </c>
      <c r="H58" s="5">
        <f>+D58/F58</f>
        <v>1.5165983798710556</v>
      </c>
      <c r="I58">
        <v>0.46229999999999999</v>
      </c>
      <c r="J58" s="1">
        <v>13225</v>
      </c>
      <c r="K58">
        <v>0.75600000000000001</v>
      </c>
      <c r="L58">
        <v>0.98650000000000004</v>
      </c>
      <c r="M58">
        <v>0.76629999999999998</v>
      </c>
      <c r="N58">
        <f t="shared" si="0"/>
        <v>1576958</v>
      </c>
      <c r="O58">
        <f t="shared" si="1"/>
        <v>1037060</v>
      </c>
      <c r="P58">
        <f t="shared" si="2"/>
        <v>539898</v>
      </c>
    </row>
    <row r="59" spans="1:16" x14ac:dyDescent="0.35">
      <c r="A59" t="s">
        <v>15</v>
      </c>
      <c r="B59">
        <v>2024</v>
      </c>
      <c r="C59">
        <v>3501500</v>
      </c>
      <c r="D59">
        <v>3915000</v>
      </c>
      <c r="E59">
        <v>1769979</v>
      </c>
      <c r="F59">
        <v>1691544</v>
      </c>
      <c r="G59" s="5">
        <f>+C59/E59</f>
        <v>1.9782720585950455</v>
      </c>
      <c r="H59" s="5">
        <f>+D59/F59</f>
        <v>2.3144535406705353</v>
      </c>
      <c r="I59">
        <v>-0.3362</v>
      </c>
      <c r="J59" s="1">
        <v>-78314</v>
      </c>
      <c r="K59" s="1">
        <v>11181</v>
      </c>
      <c r="L59">
        <v>0.95569999999999999</v>
      </c>
      <c r="M59" s="1">
        <v>11699</v>
      </c>
      <c r="N59">
        <f t="shared" si="0"/>
        <v>3954977</v>
      </c>
      <c r="O59">
        <f t="shared" si="1"/>
        <v>1731521</v>
      </c>
      <c r="P59">
        <f t="shared" si="2"/>
        <v>2223456</v>
      </c>
    </row>
    <row r="60" spans="1:16" x14ac:dyDescent="0.35">
      <c r="A60" t="s">
        <v>19</v>
      </c>
      <c r="B60">
        <v>2024</v>
      </c>
      <c r="C60">
        <v>14969500</v>
      </c>
      <c r="D60">
        <v>7727500</v>
      </c>
      <c r="E60">
        <v>7692709</v>
      </c>
      <c r="F60">
        <v>8612787</v>
      </c>
      <c r="G60" s="5">
        <f>+C60/E60</f>
        <v>1.9459334806503146</v>
      </c>
      <c r="H60" s="5">
        <f>+D60/F60</f>
        <v>0.89721248185982072</v>
      </c>
      <c r="I60" s="1">
        <v>10487</v>
      </c>
      <c r="J60" s="1">
        <v>368859</v>
      </c>
      <c r="K60">
        <v>0.51619999999999999</v>
      </c>
      <c r="L60" s="1">
        <v>11196</v>
      </c>
      <c r="M60">
        <v>0.46110000000000001</v>
      </c>
      <c r="N60">
        <f t="shared" si="0"/>
        <v>6391504</v>
      </c>
      <c r="O60">
        <f t="shared" si="1"/>
        <v>7276791</v>
      </c>
      <c r="P60">
        <f t="shared" si="2"/>
        <v>-885287</v>
      </c>
    </row>
    <row r="61" spans="1:16" x14ac:dyDescent="0.35">
      <c r="A61" t="s">
        <v>50</v>
      </c>
      <c r="B61">
        <v>3544</v>
      </c>
      <c r="C61">
        <v>5330500</v>
      </c>
      <c r="D61">
        <v>3759500</v>
      </c>
      <c r="E61">
        <v>2804584</v>
      </c>
      <c r="F61">
        <v>2750550</v>
      </c>
      <c r="G61" s="5">
        <f>+C61/E61</f>
        <v>1.900638383446529</v>
      </c>
      <c r="H61" s="5">
        <f>+D61/F61</f>
        <v>1.3668175455817928</v>
      </c>
      <c r="I61">
        <v>0.53380000000000005</v>
      </c>
      <c r="J61" s="1">
        <v>163375</v>
      </c>
      <c r="K61">
        <v>0.70530000000000004</v>
      </c>
      <c r="L61">
        <v>0.98070000000000002</v>
      </c>
      <c r="M61">
        <v>0.71919999999999995</v>
      </c>
      <c r="N61">
        <f t="shared" si="0"/>
        <v>3534866</v>
      </c>
      <c r="O61">
        <f t="shared" si="1"/>
        <v>2525916</v>
      </c>
      <c r="P61">
        <f t="shared" si="2"/>
        <v>1008950</v>
      </c>
    </row>
    <row r="62" spans="1:16" x14ac:dyDescent="0.35">
      <c r="A62" t="s">
        <v>66</v>
      </c>
      <c r="B62">
        <v>3544</v>
      </c>
      <c r="C62">
        <v>12003000</v>
      </c>
      <c r="D62">
        <v>6810500</v>
      </c>
      <c r="E62">
        <v>6446088</v>
      </c>
      <c r="F62">
        <v>6310556</v>
      </c>
      <c r="G62" s="5">
        <f>+C62/E62</f>
        <v>1.8620595933533641</v>
      </c>
      <c r="H62" s="5">
        <f>+D62/F62</f>
        <v>1.0792234471891224</v>
      </c>
      <c r="I62">
        <v>0.78280000000000005</v>
      </c>
      <c r="J62" s="1">
        <v>266155</v>
      </c>
      <c r="K62">
        <v>0.56740000000000002</v>
      </c>
      <c r="L62">
        <v>0.97899999999999998</v>
      </c>
      <c r="M62">
        <v>0.5796</v>
      </c>
      <c r="N62">
        <f t="shared" si="0"/>
        <v>6056856</v>
      </c>
      <c r="O62">
        <f t="shared" si="1"/>
        <v>5556912</v>
      </c>
      <c r="P62">
        <f t="shared" si="2"/>
        <v>499944</v>
      </c>
    </row>
    <row r="63" spans="1:16" x14ac:dyDescent="0.35">
      <c r="A63" t="s">
        <v>15</v>
      </c>
      <c r="B63">
        <v>2534</v>
      </c>
      <c r="C63">
        <v>6553500</v>
      </c>
      <c r="D63">
        <v>4974000</v>
      </c>
      <c r="E63">
        <v>3551384</v>
      </c>
      <c r="F63">
        <v>3424348</v>
      </c>
      <c r="G63" s="5">
        <f>+C63/E63</f>
        <v>1.8453369165373275</v>
      </c>
      <c r="H63" s="5">
        <f>+D63/F63</f>
        <v>1.4525392863108539</v>
      </c>
      <c r="I63">
        <v>0.39279999999999998</v>
      </c>
      <c r="J63" s="1">
        <v>119106</v>
      </c>
      <c r="K63">
        <v>0.75900000000000001</v>
      </c>
      <c r="L63">
        <v>0.96419999999999995</v>
      </c>
      <c r="M63">
        <v>0.78720000000000001</v>
      </c>
      <c r="N63">
        <f t="shared" si="0"/>
        <v>4551768</v>
      </c>
      <c r="O63">
        <f t="shared" si="1"/>
        <v>3002116</v>
      </c>
      <c r="P63">
        <f t="shared" si="2"/>
        <v>1549652</v>
      </c>
    </row>
    <row r="64" spans="1:16" x14ac:dyDescent="0.35">
      <c r="A64" t="s">
        <v>61</v>
      </c>
      <c r="B64">
        <v>2534</v>
      </c>
      <c r="C64">
        <v>1061000</v>
      </c>
      <c r="D64">
        <v>775000</v>
      </c>
      <c r="E64">
        <v>595709</v>
      </c>
      <c r="F64">
        <v>580440</v>
      </c>
      <c r="G64" s="5">
        <f>+C64/E64</f>
        <v>1.7810709591428029</v>
      </c>
      <c r="H64" s="5">
        <f>+D64/F64</f>
        <v>1.3351939907656261</v>
      </c>
      <c r="I64">
        <v>0.44590000000000002</v>
      </c>
      <c r="J64" s="1">
        <v>143081</v>
      </c>
      <c r="K64">
        <v>0.73040000000000005</v>
      </c>
      <c r="L64">
        <v>0.97440000000000004</v>
      </c>
      <c r="M64">
        <v>0.74960000000000004</v>
      </c>
      <c r="N64">
        <f t="shared" si="0"/>
        <v>659851</v>
      </c>
      <c r="O64">
        <f t="shared" si="1"/>
        <v>465291</v>
      </c>
      <c r="P64">
        <f t="shared" si="2"/>
        <v>194560</v>
      </c>
    </row>
    <row r="65" spans="1:16" x14ac:dyDescent="0.35">
      <c r="A65" t="s">
        <v>23</v>
      </c>
      <c r="B65">
        <v>2534</v>
      </c>
      <c r="C65">
        <v>28797500</v>
      </c>
      <c r="D65">
        <v>17682500</v>
      </c>
      <c r="E65">
        <v>16239229</v>
      </c>
      <c r="F65">
        <v>16098852</v>
      </c>
      <c r="G65" s="5">
        <f>+C65/E65</f>
        <v>1.7733292633535742</v>
      </c>
      <c r="H65" s="5">
        <f>+D65/F65</f>
        <v>1.0983702440397614</v>
      </c>
      <c r="I65">
        <v>0.67500000000000004</v>
      </c>
      <c r="J65" s="1">
        <v>235038</v>
      </c>
      <c r="K65">
        <v>0.61399999999999999</v>
      </c>
      <c r="L65">
        <v>0.99139999999999995</v>
      </c>
      <c r="M65">
        <v>0.61929999999999996</v>
      </c>
      <c r="N65">
        <f t="shared" si="0"/>
        <v>14141919</v>
      </c>
      <c r="O65">
        <f t="shared" si="1"/>
        <v>12558271</v>
      </c>
      <c r="P65">
        <f t="shared" si="2"/>
        <v>1583648</v>
      </c>
    </row>
    <row r="66" spans="1:16" x14ac:dyDescent="0.35">
      <c r="A66" t="s">
        <v>23</v>
      </c>
      <c r="B66">
        <v>2024</v>
      </c>
      <c r="C66">
        <v>13624000</v>
      </c>
      <c r="D66">
        <v>14844000</v>
      </c>
      <c r="E66">
        <v>7838493</v>
      </c>
      <c r="F66">
        <v>7627791</v>
      </c>
      <c r="G66" s="5">
        <f>+C66/E66</f>
        <v>1.7380891964820278</v>
      </c>
      <c r="H66" s="5">
        <f>+D66/F66</f>
        <v>1.9460417832633328</v>
      </c>
      <c r="I66">
        <v>-0.20799999999999999</v>
      </c>
      <c r="J66" s="1">
        <v>-56445</v>
      </c>
      <c r="K66" s="1">
        <v>10895</v>
      </c>
      <c r="L66">
        <v>0.97309999999999997</v>
      </c>
      <c r="M66" s="1">
        <v>11196</v>
      </c>
      <c r="N66">
        <f t="shared" si="0"/>
        <v>13001716</v>
      </c>
      <c r="O66">
        <f t="shared" si="1"/>
        <v>5785507</v>
      </c>
      <c r="P66">
        <f t="shared" si="2"/>
        <v>7216209</v>
      </c>
    </row>
    <row r="67" spans="1:16" x14ac:dyDescent="0.35">
      <c r="A67" t="s">
        <v>32</v>
      </c>
      <c r="B67">
        <v>3544</v>
      </c>
      <c r="C67">
        <v>14069500</v>
      </c>
      <c r="D67">
        <v>10531500</v>
      </c>
      <c r="E67">
        <v>8140037</v>
      </c>
      <c r="F67">
        <v>7945153</v>
      </c>
      <c r="G67" s="5">
        <f>+C67/E67</f>
        <v>1.7284319469309537</v>
      </c>
      <c r="H67" s="5">
        <f>+D67/F67</f>
        <v>1.325525134632398</v>
      </c>
      <c r="I67">
        <v>0.40289999999999998</v>
      </c>
      <c r="J67" s="1">
        <v>131929</v>
      </c>
      <c r="K67">
        <v>0.74850000000000005</v>
      </c>
      <c r="L67">
        <v>0.97609999999999997</v>
      </c>
      <c r="M67">
        <v>0.76680000000000004</v>
      </c>
      <c r="N67">
        <f t="shared" ref="N67:N130" si="3">+C67-E67+D67-F67</f>
        <v>8515810</v>
      </c>
      <c r="O67">
        <f t="shared" ref="O67:O130" si="4">+C67-E67</f>
        <v>5929463</v>
      </c>
      <c r="P67">
        <f t="shared" ref="P67:P130" si="5">+D67-F67</f>
        <v>2586347</v>
      </c>
    </row>
    <row r="68" spans="1:16" x14ac:dyDescent="0.35">
      <c r="A68" t="s">
        <v>13</v>
      </c>
      <c r="B68" t="s">
        <v>14</v>
      </c>
      <c r="C68">
        <v>644500</v>
      </c>
      <c r="D68">
        <v>542000</v>
      </c>
      <c r="E68">
        <v>379735</v>
      </c>
      <c r="F68">
        <v>219943</v>
      </c>
      <c r="G68" s="5">
        <f>+C68/E68</f>
        <v>1.6972362305291848</v>
      </c>
      <c r="H68" s="5">
        <f>+D68/F68</f>
        <v>2.464274834843573</v>
      </c>
      <c r="I68">
        <v>-0.76700000000000002</v>
      </c>
      <c r="J68" s="1">
        <v>-184317</v>
      </c>
      <c r="K68">
        <v>0.84099999999999997</v>
      </c>
      <c r="L68">
        <v>0.57920000000000005</v>
      </c>
      <c r="M68" s="1">
        <v>1452</v>
      </c>
      <c r="N68">
        <f t="shared" si="3"/>
        <v>586822</v>
      </c>
      <c r="O68">
        <f t="shared" si="4"/>
        <v>264765</v>
      </c>
      <c r="P68">
        <f t="shared" si="5"/>
        <v>322057</v>
      </c>
    </row>
    <row r="69" spans="1:16" x14ac:dyDescent="0.35">
      <c r="A69" t="s">
        <v>50</v>
      </c>
      <c r="B69" t="s">
        <v>14</v>
      </c>
      <c r="C69">
        <v>2867000</v>
      </c>
      <c r="D69">
        <v>1416000</v>
      </c>
      <c r="E69">
        <v>1701598</v>
      </c>
      <c r="F69">
        <v>1767288</v>
      </c>
      <c r="G69" s="5">
        <f>+C69/E69</f>
        <v>1.6848867946483246</v>
      </c>
      <c r="H69" s="5">
        <f>+D69/F69</f>
        <v>0.80122764371172106</v>
      </c>
      <c r="I69">
        <v>0.88370000000000004</v>
      </c>
      <c r="J69" s="1">
        <v>355438</v>
      </c>
      <c r="K69">
        <v>0.49390000000000001</v>
      </c>
      <c r="L69" s="1">
        <v>10386</v>
      </c>
      <c r="M69">
        <v>0.47549999999999998</v>
      </c>
      <c r="N69">
        <f t="shared" si="3"/>
        <v>814114</v>
      </c>
      <c r="O69">
        <f t="shared" si="4"/>
        <v>1165402</v>
      </c>
      <c r="P69">
        <f t="shared" si="5"/>
        <v>-351288</v>
      </c>
    </row>
    <row r="70" spans="1:16" x14ac:dyDescent="0.35">
      <c r="A70" t="s">
        <v>58</v>
      </c>
      <c r="B70">
        <v>2024</v>
      </c>
      <c r="C70">
        <v>1420500</v>
      </c>
      <c r="D70">
        <v>1722500</v>
      </c>
      <c r="E70">
        <v>845397</v>
      </c>
      <c r="F70">
        <v>807288</v>
      </c>
      <c r="G70" s="5">
        <f>+C70/E70</f>
        <v>1.6802756574721698</v>
      </c>
      <c r="H70" s="5">
        <f>+D70/F70</f>
        <v>2.1336871104240371</v>
      </c>
      <c r="I70">
        <v>-0.45340000000000003</v>
      </c>
      <c r="J70" s="1">
        <v>-118882</v>
      </c>
      <c r="K70" s="1">
        <v>12126</v>
      </c>
      <c r="L70">
        <v>0.95489999999999997</v>
      </c>
      <c r="M70" s="1">
        <v>12699</v>
      </c>
      <c r="N70">
        <f t="shared" si="3"/>
        <v>1490315</v>
      </c>
      <c r="O70">
        <f t="shared" si="4"/>
        <v>575103</v>
      </c>
      <c r="P70">
        <f t="shared" si="5"/>
        <v>915212</v>
      </c>
    </row>
    <row r="71" spans="1:16" x14ac:dyDescent="0.35">
      <c r="A71" t="s">
        <v>49</v>
      </c>
      <c r="B71">
        <v>2024</v>
      </c>
      <c r="C71">
        <v>1366500</v>
      </c>
      <c r="D71">
        <v>874000</v>
      </c>
      <c r="E71">
        <v>836957</v>
      </c>
      <c r="F71">
        <v>817169</v>
      </c>
      <c r="G71" s="5">
        <f>+C71/E71</f>
        <v>1.632700365729661</v>
      </c>
      <c r="H71" s="5">
        <f>+D71/F71</f>
        <v>1.0695462015813131</v>
      </c>
      <c r="I71">
        <v>0.56320000000000003</v>
      </c>
      <c r="J71" s="1">
        <v>208402</v>
      </c>
      <c r="K71">
        <v>0.63959999999999995</v>
      </c>
      <c r="L71">
        <v>0.97640000000000005</v>
      </c>
      <c r="M71">
        <v>0.65510000000000002</v>
      </c>
      <c r="N71">
        <f t="shared" si="3"/>
        <v>586374</v>
      </c>
      <c r="O71">
        <f t="shared" si="4"/>
        <v>529543</v>
      </c>
      <c r="P71">
        <f t="shared" si="5"/>
        <v>56831</v>
      </c>
    </row>
    <row r="72" spans="1:16" x14ac:dyDescent="0.35">
      <c r="A72" t="s">
        <v>38</v>
      </c>
      <c r="B72">
        <v>2534</v>
      </c>
      <c r="C72">
        <v>2676000</v>
      </c>
      <c r="D72">
        <v>2103000</v>
      </c>
      <c r="E72">
        <v>1654228</v>
      </c>
      <c r="F72">
        <v>1643694</v>
      </c>
      <c r="G72" s="5">
        <f>+C72/E72</f>
        <v>1.617673017262433</v>
      </c>
      <c r="H72" s="5">
        <f>+D72/F72</f>
        <v>1.2794352233444912</v>
      </c>
      <c r="I72">
        <v>0.3382</v>
      </c>
      <c r="J72" s="1">
        <v>11675</v>
      </c>
      <c r="K72">
        <v>0.78590000000000004</v>
      </c>
      <c r="L72">
        <v>0.99360000000000004</v>
      </c>
      <c r="M72">
        <v>0.79100000000000004</v>
      </c>
      <c r="N72">
        <f t="shared" si="3"/>
        <v>1481078</v>
      </c>
      <c r="O72">
        <f t="shared" si="4"/>
        <v>1021772</v>
      </c>
      <c r="P72">
        <f t="shared" si="5"/>
        <v>459306</v>
      </c>
    </row>
    <row r="73" spans="1:16" x14ac:dyDescent="0.35">
      <c r="A73" t="s">
        <v>20</v>
      </c>
      <c r="B73">
        <v>2534</v>
      </c>
      <c r="C73">
        <v>359500</v>
      </c>
      <c r="D73">
        <v>215000</v>
      </c>
      <c r="E73">
        <v>225797</v>
      </c>
      <c r="F73">
        <v>121078</v>
      </c>
      <c r="G73" s="5">
        <f>+C73/E73</f>
        <v>1.5921380709221113</v>
      </c>
      <c r="H73" s="5">
        <f>+D73/F73</f>
        <v>1.7757148284576885</v>
      </c>
      <c r="I73">
        <v>-0.18360000000000001</v>
      </c>
      <c r="J73" s="1">
        <v>-54509</v>
      </c>
      <c r="K73">
        <v>0.59809999999999997</v>
      </c>
      <c r="L73">
        <v>0.53620000000000001</v>
      </c>
      <c r="M73" s="1">
        <v>11154</v>
      </c>
      <c r="N73">
        <f t="shared" si="3"/>
        <v>227625</v>
      </c>
      <c r="O73">
        <f t="shared" si="4"/>
        <v>133703</v>
      </c>
      <c r="P73">
        <f t="shared" si="5"/>
        <v>93922</v>
      </c>
    </row>
    <row r="74" spans="1:16" x14ac:dyDescent="0.35">
      <c r="A74" t="s">
        <v>40</v>
      </c>
      <c r="B74">
        <v>2024</v>
      </c>
      <c r="C74">
        <v>288500</v>
      </c>
      <c r="D74">
        <v>445000</v>
      </c>
      <c r="E74">
        <v>181715</v>
      </c>
      <c r="F74">
        <v>175868</v>
      </c>
      <c r="G74" s="5">
        <f>+C74/E74</f>
        <v>1.5876509919379247</v>
      </c>
      <c r="H74" s="5">
        <f>+D74/F74</f>
        <v>2.5303068210248596</v>
      </c>
      <c r="I74">
        <v>-0.94269999999999998</v>
      </c>
      <c r="J74" s="1">
        <v>-228913</v>
      </c>
      <c r="K74" s="1">
        <v>15425</v>
      </c>
      <c r="L74">
        <v>0.96779999999999999</v>
      </c>
      <c r="M74" s="1">
        <v>15938</v>
      </c>
      <c r="N74">
        <f t="shared" si="3"/>
        <v>375917</v>
      </c>
      <c r="O74">
        <f t="shared" si="4"/>
        <v>106785</v>
      </c>
      <c r="P74">
        <f t="shared" si="5"/>
        <v>269132</v>
      </c>
    </row>
    <row r="75" spans="1:16" x14ac:dyDescent="0.35">
      <c r="A75" t="s">
        <v>56</v>
      </c>
      <c r="B75">
        <v>2024</v>
      </c>
      <c r="C75">
        <v>19035000</v>
      </c>
      <c r="D75">
        <v>9012500</v>
      </c>
      <c r="E75">
        <v>12065308</v>
      </c>
      <c r="F75">
        <v>11538231</v>
      </c>
      <c r="G75" s="5">
        <f>+C75/E75</f>
        <v>1.5776638275624626</v>
      </c>
      <c r="H75" s="5">
        <f>+D75/F75</f>
        <v>0.78109893969014832</v>
      </c>
      <c r="I75">
        <v>0.79659999999999997</v>
      </c>
      <c r="J75" s="1">
        <v>337705</v>
      </c>
      <c r="K75">
        <v>0.47349999999999998</v>
      </c>
      <c r="L75">
        <v>0.95630000000000004</v>
      </c>
      <c r="M75">
        <v>0.49509999999999998</v>
      </c>
      <c r="N75">
        <f t="shared" si="3"/>
        <v>4443961</v>
      </c>
      <c r="O75">
        <f t="shared" si="4"/>
        <v>6969692</v>
      </c>
      <c r="P75">
        <f t="shared" si="5"/>
        <v>-2525731</v>
      </c>
    </row>
    <row r="76" spans="1:16" x14ac:dyDescent="0.35">
      <c r="A76" t="s">
        <v>24</v>
      </c>
      <c r="B76">
        <v>2024</v>
      </c>
      <c r="C76">
        <v>1955000</v>
      </c>
      <c r="D76">
        <v>2215000</v>
      </c>
      <c r="E76">
        <v>1256363</v>
      </c>
      <c r="F76">
        <v>1215737</v>
      </c>
      <c r="G76" s="5">
        <f>+C76/E76</f>
        <v>1.5560789357852787</v>
      </c>
      <c r="H76" s="5">
        <f>+D76/F76</f>
        <v>1.8219401071119823</v>
      </c>
      <c r="I76">
        <v>-0.26590000000000003</v>
      </c>
      <c r="J76" s="1">
        <v>-78703</v>
      </c>
      <c r="K76" s="1">
        <v>1133</v>
      </c>
      <c r="L76">
        <v>0.9677</v>
      </c>
      <c r="M76" s="1">
        <v>11708</v>
      </c>
      <c r="N76">
        <f t="shared" si="3"/>
        <v>1697900</v>
      </c>
      <c r="O76">
        <f t="shared" si="4"/>
        <v>698637</v>
      </c>
      <c r="P76">
        <f t="shared" si="5"/>
        <v>999263</v>
      </c>
    </row>
    <row r="77" spans="1:16" x14ac:dyDescent="0.35">
      <c r="A77" t="s">
        <v>65</v>
      </c>
      <c r="B77">
        <v>2024</v>
      </c>
      <c r="C77">
        <v>489500</v>
      </c>
      <c r="D77">
        <v>688500</v>
      </c>
      <c r="E77">
        <v>315027</v>
      </c>
      <c r="F77">
        <v>293110</v>
      </c>
      <c r="G77" s="5">
        <f>+C77/E77</f>
        <v>1.5538350681052735</v>
      </c>
      <c r="H77" s="5">
        <f>+D77/F77</f>
        <v>2.3489474941148374</v>
      </c>
      <c r="I77">
        <v>-0.79510000000000003</v>
      </c>
      <c r="J77" s="1">
        <v>-20373</v>
      </c>
      <c r="K77" s="1">
        <v>14065</v>
      </c>
      <c r="L77">
        <v>0.9304</v>
      </c>
      <c r="M77" s="1">
        <v>15117</v>
      </c>
      <c r="N77">
        <f t="shared" si="3"/>
        <v>569863</v>
      </c>
      <c r="O77">
        <f t="shared" si="4"/>
        <v>174473</v>
      </c>
      <c r="P77">
        <f t="shared" si="5"/>
        <v>395390</v>
      </c>
    </row>
    <row r="78" spans="1:16" x14ac:dyDescent="0.35">
      <c r="A78" t="s">
        <v>18</v>
      </c>
      <c r="B78">
        <v>2024</v>
      </c>
      <c r="C78">
        <v>532000</v>
      </c>
      <c r="D78">
        <v>698000</v>
      </c>
      <c r="E78">
        <v>348596</v>
      </c>
      <c r="F78">
        <v>332792</v>
      </c>
      <c r="G78" s="5">
        <f>+C78/E78</f>
        <v>1.5261219291099153</v>
      </c>
      <c r="H78" s="5">
        <f>+D78/F78</f>
        <v>2.0974061876487418</v>
      </c>
      <c r="I78">
        <v>-0.57130000000000003</v>
      </c>
      <c r="J78" s="1">
        <v>-15766</v>
      </c>
      <c r="K78" s="1">
        <v>1312</v>
      </c>
      <c r="L78">
        <v>0.95469999999999999</v>
      </c>
      <c r="M78" s="1">
        <v>13743</v>
      </c>
      <c r="N78">
        <f t="shared" si="3"/>
        <v>548612</v>
      </c>
      <c r="O78">
        <f t="shared" si="4"/>
        <v>183404</v>
      </c>
      <c r="P78">
        <f t="shared" si="5"/>
        <v>365208</v>
      </c>
    </row>
    <row r="79" spans="1:16" x14ac:dyDescent="0.35">
      <c r="A79" t="s">
        <v>54</v>
      </c>
      <c r="B79">
        <v>2024</v>
      </c>
      <c r="C79">
        <v>270500</v>
      </c>
      <c r="D79">
        <v>362500</v>
      </c>
      <c r="E79">
        <v>177597</v>
      </c>
      <c r="F79">
        <v>169914</v>
      </c>
      <c r="G79" s="5">
        <f>+C79/E79</f>
        <v>1.5231113138172379</v>
      </c>
      <c r="H79" s="5">
        <f>+D79/F79</f>
        <v>2.1334322068811282</v>
      </c>
      <c r="I79">
        <v>-0.61029999999999995</v>
      </c>
      <c r="J79" s="1">
        <v>-166912</v>
      </c>
      <c r="K79" s="1">
        <v>13401</v>
      </c>
      <c r="L79">
        <v>0.95669999999999999</v>
      </c>
      <c r="M79" s="1">
        <v>14008</v>
      </c>
      <c r="N79">
        <f t="shared" si="3"/>
        <v>285489</v>
      </c>
      <c r="O79">
        <f t="shared" si="4"/>
        <v>92903</v>
      </c>
      <c r="P79">
        <f t="shared" si="5"/>
        <v>192586</v>
      </c>
    </row>
    <row r="80" spans="1:16" x14ac:dyDescent="0.35">
      <c r="A80" t="s">
        <v>63</v>
      </c>
      <c r="B80">
        <v>2024</v>
      </c>
      <c r="C80">
        <v>764000</v>
      </c>
      <c r="D80">
        <v>872500</v>
      </c>
      <c r="E80">
        <v>513019</v>
      </c>
      <c r="F80">
        <v>492570</v>
      </c>
      <c r="G80" s="5">
        <f>+C80/E80</f>
        <v>1.4892235960071654</v>
      </c>
      <c r="H80" s="5">
        <f>+D80/F80</f>
        <v>1.77132184258075</v>
      </c>
      <c r="I80">
        <v>-0.28210000000000002</v>
      </c>
      <c r="J80" s="1">
        <v>-86519</v>
      </c>
      <c r="K80" s="1">
        <v>1142</v>
      </c>
      <c r="L80">
        <v>0.96009999999999995</v>
      </c>
      <c r="M80" s="1">
        <v>11895</v>
      </c>
      <c r="N80">
        <f t="shared" si="3"/>
        <v>630911</v>
      </c>
      <c r="O80">
        <f t="shared" si="4"/>
        <v>250981</v>
      </c>
      <c r="P80">
        <f t="shared" si="5"/>
        <v>379930</v>
      </c>
    </row>
    <row r="81" spans="1:16" x14ac:dyDescent="0.35">
      <c r="A81" t="s">
        <v>37</v>
      </c>
      <c r="B81">
        <v>2024</v>
      </c>
      <c r="C81">
        <v>401500</v>
      </c>
      <c r="D81">
        <v>523000</v>
      </c>
      <c r="E81">
        <v>275038</v>
      </c>
      <c r="F81">
        <v>249384</v>
      </c>
      <c r="G81" s="5">
        <f>+C81/E81</f>
        <v>1.4597982824191567</v>
      </c>
      <c r="H81" s="5">
        <f>+D81/F81</f>
        <v>2.0971674205241717</v>
      </c>
      <c r="I81">
        <v>-0.63739999999999997</v>
      </c>
      <c r="J81" s="1">
        <v>-179189</v>
      </c>
      <c r="K81" s="1">
        <v>13026</v>
      </c>
      <c r="L81">
        <v>0.90669999999999995</v>
      </c>
      <c r="M81" s="1">
        <v>14366</v>
      </c>
      <c r="N81">
        <f t="shared" si="3"/>
        <v>400078</v>
      </c>
      <c r="O81">
        <f t="shared" si="4"/>
        <v>126462</v>
      </c>
      <c r="P81">
        <f t="shared" si="5"/>
        <v>273616</v>
      </c>
    </row>
    <row r="82" spans="1:16" x14ac:dyDescent="0.35">
      <c r="A82" t="s">
        <v>42</v>
      </c>
      <c r="B82">
        <v>2024</v>
      </c>
      <c r="C82">
        <v>2247000</v>
      </c>
      <c r="D82">
        <v>2317000</v>
      </c>
      <c r="E82">
        <v>1559724</v>
      </c>
      <c r="F82">
        <v>1465379</v>
      </c>
      <c r="G82" s="5">
        <f>+C82/E82</f>
        <v>1.4406394977572956</v>
      </c>
      <c r="H82" s="5">
        <f>+D82/F82</f>
        <v>1.58116091468487</v>
      </c>
      <c r="I82">
        <v>-0.14050000000000001</v>
      </c>
      <c r="J82" s="1">
        <v>-46503</v>
      </c>
      <c r="K82" s="1">
        <v>10312</v>
      </c>
      <c r="L82">
        <v>0.9395</v>
      </c>
      <c r="M82" s="1">
        <v>10976</v>
      </c>
      <c r="N82">
        <f t="shared" si="3"/>
        <v>1538897</v>
      </c>
      <c r="O82">
        <f t="shared" si="4"/>
        <v>687276</v>
      </c>
      <c r="P82">
        <f t="shared" si="5"/>
        <v>851621</v>
      </c>
    </row>
    <row r="83" spans="1:16" x14ac:dyDescent="0.35">
      <c r="A83" t="s">
        <v>33</v>
      </c>
      <c r="B83">
        <v>2024</v>
      </c>
      <c r="C83">
        <v>1856000</v>
      </c>
      <c r="D83">
        <v>1996000</v>
      </c>
      <c r="E83">
        <v>1316716</v>
      </c>
      <c r="F83">
        <v>1245750</v>
      </c>
      <c r="G83" s="5">
        <f>+C83/E83</f>
        <v>1.4095674389921593</v>
      </c>
      <c r="H83" s="5">
        <f>+D83/F83</f>
        <v>1.6022476419827414</v>
      </c>
      <c r="I83">
        <v>-0.19270000000000001</v>
      </c>
      <c r="J83" s="1">
        <v>-63975</v>
      </c>
      <c r="K83" s="1">
        <v>10754</v>
      </c>
      <c r="L83">
        <v>0.94610000000000005</v>
      </c>
      <c r="M83" s="1">
        <v>11367</v>
      </c>
      <c r="N83">
        <f t="shared" si="3"/>
        <v>1289534</v>
      </c>
      <c r="O83">
        <f t="shared" si="4"/>
        <v>539284</v>
      </c>
      <c r="P83">
        <f t="shared" si="5"/>
        <v>750250</v>
      </c>
    </row>
    <row r="84" spans="1:16" x14ac:dyDescent="0.35">
      <c r="A84" t="s">
        <v>28</v>
      </c>
      <c r="B84">
        <v>2024</v>
      </c>
      <c r="C84">
        <v>2913500</v>
      </c>
      <c r="D84">
        <v>3144000</v>
      </c>
      <c r="E84">
        <v>2084525</v>
      </c>
      <c r="F84">
        <v>1950436</v>
      </c>
      <c r="G84" s="5">
        <f>+C84/E84</f>
        <v>1.3976805267387054</v>
      </c>
      <c r="H84" s="5">
        <f>+D84/F84</f>
        <v>1.6119472774292518</v>
      </c>
      <c r="I84">
        <v>-0.21429999999999999</v>
      </c>
      <c r="J84" s="1">
        <v>-71194</v>
      </c>
      <c r="K84" s="1">
        <v>10791</v>
      </c>
      <c r="L84">
        <v>0.93569999999999998</v>
      </c>
      <c r="M84" s="1">
        <v>11533</v>
      </c>
      <c r="N84">
        <f t="shared" si="3"/>
        <v>2022539</v>
      </c>
      <c r="O84">
        <f t="shared" si="4"/>
        <v>828975</v>
      </c>
      <c r="P84">
        <f t="shared" si="5"/>
        <v>1193564</v>
      </c>
    </row>
    <row r="85" spans="1:16" x14ac:dyDescent="0.35">
      <c r="A85" t="s">
        <v>36</v>
      </c>
      <c r="B85">
        <v>2024</v>
      </c>
      <c r="C85">
        <v>2875000</v>
      </c>
      <c r="D85">
        <v>3199000</v>
      </c>
      <c r="E85">
        <v>2061253</v>
      </c>
      <c r="F85">
        <v>1957753</v>
      </c>
      <c r="G85" s="5">
        <f>+C85/E85</f>
        <v>1.3947826880057907</v>
      </c>
      <c r="H85" s="5">
        <f>+D85/F85</f>
        <v>1.6340161399318505</v>
      </c>
      <c r="I85">
        <v>-0.2392</v>
      </c>
      <c r="J85" s="1">
        <v>-78986</v>
      </c>
      <c r="K85" s="1">
        <v>11127</v>
      </c>
      <c r="L85">
        <v>0.94979999999999998</v>
      </c>
      <c r="M85" s="1">
        <v>11715</v>
      </c>
      <c r="N85">
        <f t="shared" si="3"/>
        <v>2054994</v>
      </c>
      <c r="O85">
        <f t="shared" si="4"/>
        <v>813747</v>
      </c>
      <c r="P85">
        <f t="shared" si="5"/>
        <v>1241247</v>
      </c>
    </row>
    <row r="86" spans="1:16" x14ac:dyDescent="0.35">
      <c r="A86" t="s">
        <v>62</v>
      </c>
      <c r="B86">
        <v>3544</v>
      </c>
      <c r="C86">
        <v>834000</v>
      </c>
      <c r="D86">
        <v>340500</v>
      </c>
      <c r="E86">
        <v>605715</v>
      </c>
      <c r="F86">
        <v>182892</v>
      </c>
      <c r="G86" s="5">
        <f>+C86/E86</f>
        <v>1.3768851687674897</v>
      </c>
      <c r="H86" s="5">
        <f>+D86/F86</f>
        <v>1.8617544780526212</v>
      </c>
      <c r="I86">
        <v>-0.4849</v>
      </c>
      <c r="J86" s="1">
        <v>-149714</v>
      </c>
      <c r="K86">
        <v>0.4083</v>
      </c>
      <c r="L86">
        <v>0.3019</v>
      </c>
      <c r="M86" s="1">
        <v>13524</v>
      </c>
      <c r="N86">
        <f t="shared" si="3"/>
        <v>385893</v>
      </c>
      <c r="O86">
        <f t="shared" si="4"/>
        <v>228285</v>
      </c>
      <c r="P86">
        <f t="shared" si="5"/>
        <v>157608</v>
      </c>
    </row>
    <row r="87" spans="1:16" x14ac:dyDescent="0.35">
      <c r="A87" t="s">
        <v>34</v>
      </c>
      <c r="B87">
        <v>2024</v>
      </c>
      <c r="C87">
        <v>220500</v>
      </c>
      <c r="D87">
        <v>320500</v>
      </c>
      <c r="E87">
        <v>161454</v>
      </c>
      <c r="F87">
        <v>153381</v>
      </c>
      <c r="G87" s="5">
        <f>+C87/E87</f>
        <v>1.3657140733583559</v>
      </c>
      <c r="H87" s="5">
        <f>+D87/F87</f>
        <v>2.0895678082682991</v>
      </c>
      <c r="I87">
        <v>-0.72389999999999999</v>
      </c>
      <c r="J87" s="1">
        <v>-209492</v>
      </c>
      <c r="K87" s="1">
        <v>14535</v>
      </c>
      <c r="L87">
        <v>0.95</v>
      </c>
      <c r="M87" s="2" t="s">
        <v>74</v>
      </c>
      <c r="N87">
        <f t="shared" si="3"/>
        <v>226165</v>
      </c>
      <c r="O87">
        <f t="shared" si="4"/>
        <v>59046</v>
      </c>
      <c r="P87">
        <f t="shared" si="5"/>
        <v>167119</v>
      </c>
    </row>
    <row r="88" spans="1:16" x14ac:dyDescent="0.35">
      <c r="A88" t="s">
        <v>70</v>
      </c>
      <c r="B88" t="s">
        <v>14</v>
      </c>
      <c r="C88">
        <v>2874000</v>
      </c>
      <c r="D88">
        <v>3111000</v>
      </c>
      <c r="E88">
        <v>2119566</v>
      </c>
      <c r="F88">
        <v>2675794</v>
      </c>
      <c r="G88" s="5">
        <f>+C88/E88</f>
        <v>1.3559379608844453</v>
      </c>
      <c r="H88" s="5">
        <f>+D88/F88</f>
        <v>1.1626455549268739</v>
      </c>
      <c r="I88">
        <v>0.1933</v>
      </c>
      <c r="J88" s="1">
        <v>76746</v>
      </c>
      <c r="K88" s="1">
        <v>10825</v>
      </c>
      <c r="L88" s="1">
        <v>12624</v>
      </c>
      <c r="M88">
        <v>0.85750000000000004</v>
      </c>
      <c r="N88">
        <f t="shared" si="3"/>
        <v>1189640</v>
      </c>
      <c r="O88">
        <f t="shared" si="4"/>
        <v>754434</v>
      </c>
      <c r="P88">
        <f t="shared" si="5"/>
        <v>435206</v>
      </c>
    </row>
    <row r="89" spans="1:16" x14ac:dyDescent="0.35">
      <c r="A89" t="s">
        <v>24</v>
      </c>
      <c r="B89">
        <v>2534</v>
      </c>
      <c r="C89">
        <v>3932000</v>
      </c>
      <c r="D89">
        <v>2930500</v>
      </c>
      <c r="E89">
        <v>2981873</v>
      </c>
      <c r="F89">
        <v>2795921</v>
      </c>
      <c r="G89" s="5">
        <f>+C89/E89</f>
        <v>1.3186342946195226</v>
      </c>
      <c r="H89" s="5">
        <f>+D89/F89</f>
        <v>1.0481340495672089</v>
      </c>
      <c r="I89">
        <v>0.27050000000000002</v>
      </c>
      <c r="J89" s="1">
        <v>114291</v>
      </c>
      <c r="K89">
        <v>0.74529999999999996</v>
      </c>
      <c r="L89">
        <v>0.93759999999999999</v>
      </c>
      <c r="M89">
        <v>0.79490000000000005</v>
      </c>
      <c r="N89">
        <f t="shared" si="3"/>
        <v>1084706</v>
      </c>
      <c r="O89">
        <f t="shared" si="4"/>
        <v>950127</v>
      </c>
      <c r="P89">
        <f t="shared" si="5"/>
        <v>134579</v>
      </c>
    </row>
    <row r="90" spans="1:16" x14ac:dyDescent="0.35">
      <c r="A90" t="s">
        <v>53</v>
      </c>
      <c r="B90">
        <v>2024</v>
      </c>
      <c r="C90">
        <v>775000</v>
      </c>
      <c r="D90">
        <v>1108000</v>
      </c>
      <c r="E90">
        <v>589941</v>
      </c>
      <c r="F90">
        <v>570673</v>
      </c>
      <c r="G90" s="5">
        <f>+C90/E90</f>
        <v>1.3136906911030086</v>
      </c>
      <c r="H90" s="5">
        <f>+D90/F90</f>
        <v>1.9415672372794928</v>
      </c>
      <c r="I90">
        <v>-0.62790000000000001</v>
      </c>
      <c r="J90" s="1">
        <v>-192881</v>
      </c>
      <c r="K90" s="1">
        <v>14297</v>
      </c>
      <c r="L90">
        <v>0.96730000000000005</v>
      </c>
      <c r="M90" s="1">
        <v>1478</v>
      </c>
      <c r="N90">
        <f t="shared" si="3"/>
        <v>722386</v>
      </c>
      <c r="O90">
        <f t="shared" si="4"/>
        <v>185059</v>
      </c>
      <c r="P90">
        <f t="shared" si="5"/>
        <v>537327</v>
      </c>
    </row>
    <row r="91" spans="1:16" x14ac:dyDescent="0.35">
      <c r="A91" t="s">
        <v>29</v>
      </c>
      <c r="B91">
        <v>2024</v>
      </c>
      <c r="C91">
        <v>246500</v>
      </c>
      <c r="D91">
        <v>341000</v>
      </c>
      <c r="E91">
        <v>188497</v>
      </c>
      <c r="F91">
        <v>181669</v>
      </c>
      <c r="G91" s="5">
        <f>+C91/E91</f>
        <v>1.3077131201027072</v>
      </c>
      <c r="H91" s="5">
        <f>+D91/F91</f>
        <v>1.877040111411413</v>
      </c>
      <c r="I91">
        <v>-0.56930000000000003</v>
      </c>
      <c r="J91" s="1">
        <v>-178766</v>
      </c>
      <c r="K91" s="1">
        <v>13834</v>
      </c>
      <c r="L91">
        <v>0.96379999999999999</v>
      </c>
      <c r="M91" s="1">
        <v>14354</v>
      </c>
      <c r="N91">
        <f t="shared" si="3"/>
        <v>217334</v>
      </c>
      <c r="O91">
        <f t="shared" si="4"/>
        <v>58003</v>
      </c>
      <c r="P91">
        <f t="shared" si="5"/>
        <v>159331</v>
      </c>
    </row>
    <row r="92" spans="1:16" x14ac:dyDescent="0.35">
      <c r="A92" t="s">
        <v>60</v>
      </c>
      <c r="B92">
        <v>2024</v>
      </c>
      <c r="C92">
        <v>380500</v>
      </c>
      <c r="D92">
        <v>560500</v>
      </c>
      <c r="E92">
        <v>291190</v>
      </c>
      <c r="F92">
        <v>278358</v>
      </c>
      <c r="G92" s="5">
        <f>+C92/E92</f>
        <v>1.3067069610906967</v>
      </c>
      <c r="H92" s="5">
        <f>+D92/F92</f>
        <v>2.0135940048426848</v>
      </c>
      <c r="I92">
        <v>-0.70689999999999997</v>
      </c>
      <c r="J92" s="1">
        <v>-212898</v>
      </c>
      <c r="K92" s="1">
        <v>14731</v>
      </c>
      <c r="L92">
        <v>0.95589999999999997</v>
      </c>
      <c r="M92" s="1">
        <v>15411</v>
      </c>
      <c r="N92">
        <f t="shared" si="3"/>
        <v>371452</v>
      </c>
      <c r="O92">
        <f t="shared" si="4"/>
        <v>89310</v>
      </c>
      <c r="P92">
        <f t="shared" si="5"/>
        <v>282142</v>
      </c>
    </row>
    <row r="93" spans="1:16" x14ac:dyDescent="0.35">
      <c r="A93" t="s">
        <v>62</v>
      </c>
      <c r="B93" t="s">
        <v>14</v>
      </c>
      <c r="C93">
        <v>128500</v>
      </c>
      <c r="D93">
        <v>83000</v>
      </c>
      <c r="E93">
        <v>98368</v>
      </c>
      <c r="F93">
        <v>36247</v>
      </c>
      <c r="G93" s="5">
        <f>+C93/E93</f>
        <v>1.3063191281717632</v>
      </c>
      <c r="H93" s="5">
        <f>+D93/F93</f>
        <v>2.2898446768008385</v>
      </c>
      <c r="I93">
        <v>-0.98350000000000004</v>
      </c>
      <c r="J93" s="1">
        <v>-273493</v>
      </c>
      <c r="K93">
        <v>0.64590000000000003</v>
      </c>
      <c r="L93">
        <v>0.36849999999999999</v>
      </c>
      <c r="M93" s="1">
        <v>17528</v>
      </c>
      <c r="N93">
        <f t="shared" si="3"/>
        <v>76885</v>
      </c>
      <c r="O93">
        <f t="shared" si="4"/>
        <v>30132</v>
      </c>
      <c r="P93">
        <f t="shared" si="5"/>
        <v>46753</v>
      </c>
    </row>
    <row r="94" spans="1:16" x14ac:dyDescent="0.35">
      <c r="A94" t="s">
        <v>16</v>
      </c>
      <c r="B94">
        <v>2024</v>
      </c>
      <c r="C94">
        <v>311000</v>
      </c>
      <c r="D94">
        <v>399500</v>
      </c>
      <c r="E94">
        <v>239869</v>
      </c>
      <c r="F94">
        <v>227858</v>
      </c>
      <c r="G94" s="5">
        <f>+C94/E94</f>
        <v>1.296541028644802</v>
      </c>
      <c r="H94" s="5">
        <f>+D94/F94</f>
        <v>1.753284940620913</v>
      </c>
      <c r="I94">
        <v>-0.45669999999999999</v>
      </c>
      <c r="J94" s="1">
        <v>-149761</v>
      </c>
      <c r="K94" s="1">
        <v>12846</v>
      </c>
      <c r="L94">
        <v>0.94989999999999997</v>
      </c>
      <c r="M94" s="1">
        <v>13524</v>
      </c>
      <c r="N94">
        <f t="shared" si="3"/>
        <v>242773</v>
      </c>
      <c r="O94">
        <f t="shared" si="4"/>
        <v>71131</v>
      </c>
      <c r="P94">
        <f t="shared" si="5"/>
        <v>171642</v>
      </c>
    </row>
    <row r="95" spans="1:16" x14ac:dyDescent="0.35">
      <c r="A95" t="s">
        <v>39</v>
      </c>
      <c r="B95">
        <v>2024</v>
      </c>
      <c r="C95">
        <v>329500</v>
      </c>
      <c r="D95">
        <v>426500</v>
      </c>
      <c r="E95">
        <v>258712</v>
      </c>
      <c r="F95">
        <v>244073</v>
      </c>
      <c r="G95" s="5">
        <f>+C95/E95</f>
        <v>1.2736169949596463</v>
      </c>
      <c r="H95" s="5">
        <f>+D95/F95</f>
        <v>1.7474280235831083</v>
      </c>
      <c r="I95">
        <v>-0.4738</v>
      </c>
      <c r="J95" s="1">
        <v>-156837</v>
      </c>
      <c r="K95" s="1">
        <v>12944</v>
      </c>
      <c r="L95">
        <v>0.94340000000000002</v>
      </c>
      <c r="M95" s="1">
        <v>13721</v>
      </c>
      <c r="N95">
        <f t="shared" si="3"/>
        <v>253215</v>
      </c>
      <c r="O95">
        <f t="shared" si="4"/>
        <v>70788</v>
      </c>
      <c r="P95">
        <f t="shared" si="5"/>
        <v>182427</v>
      </c>
    </row>
    <row r="96" spans="1:16" x14ac:dyDescent="0.35">
      <c r="A96" t="s">
        <v>25</v>
      </c>
      <c r="B96">
        <v>2024</v>
      </c>
      <c r="C96">
        <v>299000</v>
      </c>
      <c r="D96">
        <v>368000</v>
      </c>
      <c r="E96">
        <v>235041</v>
      </c>
      <c r="F96">
        <v>221470</v>
      </c>
      <c r="G96" s="5">
        <f>+C96/E96</f>
        <v>1.2721184814564268</v>
      </c>
      <c r="H96" s="5">
        <f>+D96/F96</f>
        <v>1.6616245992685239</v>
      </c>
      <c r="I96">
        <v>-0.38950000000000001</v>
      </c>
      <c r="J96" s="1">
        <v>-132768</v>
      </c>
      <c r="K96" s="1">
        <v>12308</v>
      </c>
      <c r="L96">
        <v>0.94230000000000003</v>
      </c>
      <c r="M96" s="1">
        <v>13062</v>
      </c>
      <c r="N96">
        <f t="shared" si="3"/>
        <v>210489</v>
      </c>
      <c r="O96">
        <f t="shared" si="4"/>
        <v>63959</v>
      </c>
      <c r="P96">
        <f t="shared" si="5"/>
        <v>146530</v>
      </c>
    </row>
    <row r="97" spans="1:16" x14ac:dyDescent="0.35">
      <c r="A97" t="s">
        <v>47</v>
      </c>
      <c r="B97">
        <v>3544</v>
      </c>
      <c r="C97">
        <v>1032500</v>
      </c>
      <c r="D97">
        <v>650500</v>
      </c>
      <c r="E97">
        <v>816745</v>
      </c>
      <c r="F97">
        <v>425275</v>
      </c>
      <c r="G97" s="5">
        <f>+C97/E97</f>
        <v>1.2641644576948741</v>
      </c>
      <c r="H97" s="5">
        <f>+D97/F97</f>
        <v>1.5295984950914114</v>
      </c>
      <c r="I97">
        <v>-0.26540000000000002</v>
      </c>
      <c r="J97" s="1">
        <v>-9501</v>
      </c>
      <c r="K97">
        <v>0.63</v>
      </c>
      <c r="L97">
        <v>0.52070000000000005</v>
      </c>
      <c r="M97" s="1">
        <v>12099</v>
      </c>
      <c r="N97">
        <f t="shared" si="3"/>
        <v>440980</v>
      </c>
      <c r="O97">
        <f t="shared" si="4"/>
        <v>215755</v>
      </c>
      <c r="P97">
        <f t="shared" si="5"/>
        <v>225225</v>
      </c>
    </row>
    <row r="98" spans="1:16" x14ac:dyDescent="0.35">
      <c r="A98" t="s">
        <v>19</v>
      </c>
      <c r="B98">
        <v>2534</v>
      </c>
      <c r="C98">
        <v>16249500</v>
      </c>
      <c r="D98">
        <v>7284000</v>
      </c>
      <c r="E98">
        <v>13028043</v>
      </c>
      <c r="F98">
        <v>15720846</v>
      </c>
      <c r="G98" s="5">
        <f>+C98/E98</f>
        <v>1.2472709830632276</v>
      </c>
      <c r="H98" s="5">
        <f>+D98/F98</f>
        <v>0.4633338434839957</v>
      </c>
      <c r="I98">
        <v>0.78390000000000004</v>
      </c>
      <c r="J98" s="1">
        <v>458281</v>
      </c>
      <c r="K98">
        <v>0.44829999999999998</v>
      </c>
      <c r="L98" s="1">
        <v>12067</v>
      </c>
      <c r="M98">
        <v>0.3715</v>
      </c>
      <c r="N98">
        <f t="shared" si="3"/>
        <v>-5215389</v>
      </c>
      <c r="O98">
        <f t="shared" si="4"/>
        <v>3221457</v>
      </c>
      <c r="P98">
        <f t="shared" si="5"/>
        <v>-8436846</v>
      </c>
    </row>
    <row r="99" spans="1:16" x14ac:dyDescent="0.35">
      <c r="A99" t="s">
        <v>35</v>
      </c>
      <c r="B99">
        <v>2024</v>
      </c>
      <c r="C99">
        <v>2729500</v>
      </c>
      <c r="D99">
        <v>3027000</v>
      </c>
      <c r="E99">
        <v>2192279</v>
      </c>
      <c r="F99">
        <v>2084824</v>
      </c>
      <c r="G99" s="5">
        <f>+C99/E99</f>
        <v>1.2450513826023057</v>
      </c>
      <c r="H99" s="5">
        <f>+D99/F99</f>
        <v>1.4519211213992165</v>
      </c>
      <c r="I99">
        <v>-0.2069</v>
      </c>
      <c r="J99" s="1">
        <v>-76704</v>
      </c>
      <c r="K99" s="1">
        <v>1109</v>
      </c>
      <c r="L99">
        <v>0.95099999999999996</v>
      </c>
      <c r="M99" s="1">
        <v>11661</v>
      </c>
      <c r="N99">
        <f t="shared" si="3"/>
        <v>1479397</v>
      </c>
      <c r="O99">
        <f t="shared" si="4"/>
        <v>537221</v>
      </c>
      <c r="P99">
        <f t="shared" si="5"/>
        <v>942176</v>
      </c>
    </row>
    <row r="100" spans="1:16" x14ac:dyDescent="0.35">
      <c r="A100" t="s">
        <v>49</v>
      </c>
      <c r="B100">
        <v>2534</v>
      </c>
      <c r="C100">
        <v>1885000</v>
      </c>
      <c r="D100">
        <v>1005000</v>
      </c>
      <c r="E100">
        <v>1555947</v>
      </c>
      <c r="F100">
        <v>1558165</v>
      </c>
      <c r="G100" s="5">
        <f>+C100/E100</f>
        <v>1.2114808537822945</v>
      </c>
      <c r="H100" s="5">
        <f>+D100/F100</f>
        <v>0.64498945875436808</v>
      </c>
      <c r="I100">
        <v>0.5665</v>
      </c>
      <c r="J100" s="1">
        <v>305144</v>
      </c>
      <c r="K100">
        <v>0.53320000000000001</v>
      </c>
      <c r="L100" s="1">
        <v>10014</v>
      </c>
      <c r="M100">
        <v>0.53249999999999997</v>
      </c>
      <c r="N100">
        <f t="shared" si="3"/>
        <v>-224112</v>
      </c>
      <c r="O100">
        <f t="shared" si="4"/>
        <v>329053</v>
      </c>
      <c r="P100">
        <f t="shared" si="5"/>
        <v>-553165</v>
      </c>
    </row>
    <row r="101" spans="1:16" x14ac:dyDescent="0.35">
      <c r="A101" t="s">
        <v>48</v>
      </c>
      <c r="B101">
        <v>3544</v>
      </c>
      <c r="C101">
        <v>391500</v>
      </c>
      <c r="D101">
        <v>245000</v>
      </c>
      <c r="E101">
        <v>328060</v>
      </c>
      <c r="F101">
        <v>374605</v>
      </c>
      <c r="G101" s="5">
        <f>+C101/E101</f>
        <v>1.1933792598914832</v>
      </c>
      <c r="H101" s="5">
        <f>+D101/F101</f>
        <v>0.65402223675604976</v>
      </c>
      <c r="I101">
        <v>0.53939999999999999</v>
      </c>
      <c r="J101" s="1">
        <v>291954</v>
      </c>
      <c r="K101">
        <v>0.62580000000000002</v>
      </c>
      <c r="L101" s="1">
        <v>11419</v>
      </c>
      <c r="M101">
        <v>0.54800000000000004</v>
      </c>
      <c r="N101">
        <f t="shared" si="3"/>
        <v>-66165</v>
      </c>
      <c r="O101">
        <f t="shared" si="4"/>
        <v>63440</v>
      </c>
      <c r="P101">
        <f t="shared" si="5"/>
        <v>-129605</v>
      </c>
    </row>
    <row r="102" spans="1:16" x14ac:dyDescent="0.35">
      <c r="A102" t="s">
        <v>56</v>
      </c>
      <c r="B102">
        <v>2534</v>
      </c>
      <c r="C102">
        <v>23483000</v>
      </c>
      <c r="D102">
        <v>10328500</v>
      </c>
      <c r="E102">
        <v>19794340</v>
      </c>
      <c r="F102">
        <v>18903549</v>
      </c>
      <c r="G102" s="5">
        <f>+C102/E102</f>
        <v>1.1863492291230726</v>
      </c>
      <c r="H102" s="5">
        <f>+D102/F102</f>
        <v>0.54637888366888143</v>
      </c>
      <c r="I102">
        <v>0.64</v>
      </c>
      <c r="J102" s="1">
        <v>369343</v>
      </c>
      <c r="K102">
        <v>0.43980000000000002</v>
      </c>
      <c r="L102">
        <v>0.95499999999999996</v>
      </c>
      <c r="M102">
        <v>0.46050000000000002</v>
      </c>
      <c r="N102">
        <f t="shared" si="3"/>
        <v>-4886389</v>
      </c>
      <c r="O102">
        <f t="shared" si="4"/>
        <v>3688660</v>
      </c>
      <c r="P102">
        <f t="shared" si="5"/>
        <v>-8575049</v>
      </c>
    </row>
    <row r="103" spans="1:16" x14ac:dyDescent="0.35">
      <c r="A103" t="s">
        <v>41</v>
      </c>
      <c r="B103">
        <v>3544</v>
      </c>
      <c r="C103">
        <v>3087500</v>
      </c>
      <c r="D103">
        <v>1599500</v>
      </c>
      <c r="E103">
        <v>2686226</v>
      </c>
      <c r="F103">
        <v>2684373</v>
      </c>
      <c r="G103" s="5">
        <f>+C103/E103</f>
        <v>1.1493820698630719</v>
      </c>
      <c r="H103" s="5">
        <f>+D103/F103</f>
        <v>0.59585609004411833</v>
      </c>
      <c r="I103">
        <v>0.55349999999999999</v>
      </c>
      <c r="J103" s="1">
        <v>317164</v>
      </c>
      <c r="K103">
        <v>0.5181</v>
      </c>
      <c r="L103">
        <v>0.99929999999999997</v>
      </c>
      <c r="M103">
        <v>0.51849999999999996</v>
      </c>
      <c r="N103">
        <f t="shared" si="3"/>
        <v>-683599</v>
      </c>
      <c r="O103">
        <f t="shared" si="4"/>
        <v>401274</v>
      </c>
      <c r="P103">
        <f t="shared" si="5"/>
        <v>-1084873</v>
      </c>
    </row>
    <row r="104" spans="1:16" x14ac:dyDescent="0.35">
      <c r="A104" t="s">
        <v>55</v>
      </c>
      <c r="B104">
        <v>2024</v>
      </c>
      <c r="C104">
        <v>321500</v>
      </c>
      <c r="D104">
        <v>239500</v>
      </c>
      <c r="E104">
        <v>282025</v>
      </c>
      <c r="F104">
        <v>151686</v>
      </c>
      <c r="G104" s="5">
        <f>+C104/E104</f>
        <v>1.1399698608279407</v>
      </c>
      <c r="H104" s="5">
        <f>+D104/F104</f>
        <v>1.578919610247485</v>
      </c>
      <c r="I104">
        <v>-0.43890000000000001</v>
      </c>
      <c r="J104" s="1">
        <v>-161444</v>
      </c>
      <c r="K104">
        <v>0.74490000000000001</v>
      </c>
      <c r="L104">
        <v>0.53779999999999994</v>
      </c>
      <c r="M104" s="1">
        <v>13851</v>
      </c>
      <c r="N104">
        <f t="shared" si="3"/>
        <v>127289</v>
      </c>
      <c r="O104">
        <f t="shared" si="4"/>
        <v>39475</v>
      </c>
      <c r="P104">
        <f t="shared" si="5"/>
        <v>87814</v>
      </c>
    </row>
    <row r="105" spans="1:16" x14ac:dyDescent="0.35">
      <c r="A105" t="s">
        <v>27</v>
      </c>
      <c r="B105">
        <v>2024</v>
      </c>
      <c r="C105">
        <v>307500</v>
      </c>
      <c r="D105">
        <v>476000</v>
      </c>
      <c r="E105">
        <v>271699</v>
      </c>
      <c r="F105">
        <v>260000</v>
      </c>
      <c r="G105" s="5">
        <f>+C105/E105</f>
        <v>1.1317671393711424</v>
      </c>
      <c r="H105" s="5">
        <f>+D105/F105</f>
        <v>1.8307692307692307</v>
      </c>
      <c r="I105">
        <v>-0.69899999999999995</v>
      </c>
      <c r="J105" s="1">
        <v>-235947</v>
      </c>
      <c r="K105" s="1">
        <v>1548</v>
      </c>
      <c r="L105">
        <v>0.95689999999999997</v>
      </c>
      <c r="M105" s="1">
        <v>16177</v>
      </c>
      <c r="N105">
        <f t="shared" si="3"/>
        <v>251801</v>
      </c>
      <c r="O105">
        <f t="shared" si="4"/>
        <v>35801</v>
      </c>
      <c r="P105">
        <f t="shared" si="5"/>
        <v>216000</v>
      </c>
    </row>
    <row r="106" spans="1:16" x14ac:dyDescent="0.35">
      <c r="A106" t="s">
        <v>45</v>
      </c>
      <c r="B106">
        <v>2024</v>
      </c>
      <c r="C106">
        <v>3204000</v>
      </c>
      <c r="D106">
        <v>2244000</v>
      </c>
      <c r="E106">
        <v>2836210</v>
      </c>
      <c r="F106">
        <v>2900422</v>
      </c>
      <c r="G106" s="5">
        <f>+C106/E106</f>
        <v>1.129676575429887</v>
      </c>
      <c r="H106" s="5">
        <f>+D106/F106</f>
        <v>0.77368051959335571</v>
      </c>
      <c r="I106">
        <v>0.35599999999999998</v>
      </c>
      <c r="J106" s="1">
        <v>187036</v>
      </c>
      <c r="K106">
        <v>0.70040000000000002</v>
      </c>
      <c r="L106" s="1">
        <v>10226</v>
      </c>
      <c r="M106">
        <v>0.68489999999999995</v>
      </c>
      <c r="N106">
        <f t="shared" si="3"/>
        <v>-288632</v>
      </c>
      <c r="O106">
        <f t="shared" si="4"/>
        <v>367790</v>
      </c>
      <c r="P106">
        <f t="shared" si="5"/>
        <v>-656422</v>
      </c>
    </row>
    <row r="107" spans="1:16" x14ac:dyDescent="0.35">
      <c r="A107" t="s">
        <v>41</v>
      </c>
      <c r="B107" t="s">
        <v>14</v>
      </c>
      <c r="C107">
        <v>1289000</v>
      </c>
      <c r="D107">
        <v>874500</v>
      </c>
      <c r="E107">
        <v>1143645</v>
      </c>
      <c r="F107">
        <v>1319933</v>
      </c>
      <c r="G107" s="5">
        <f>+C107/E107</f>
        <v>1.1270980068115544</v>
      </c>
      <c r="H107" s="5">
        <f>+D107/F107</f>
        <v>0.66253362860084564</v>
      </c>
      <c r="I107">
        <v>0.46460000000000001</v>
      </c>
      <c r="J107" s="1">
        <v>259587</v>
      </c>
      <c r="K107">
        <v>0.6784</v>
      </c>
      <c r="L107" s="1">
        <v>11541</v>
      </c>
      <c r="M107">
        <v>0.58779999999999999</v>
      </c>
      <c r="N107">
        <f t="shared" si="3"/>
        <v>-300078</v>
      </c>
      <c r="O107">
        <f t="shared" si="4"/>
        <v>145355</v>
      </c>
      <c r="P107">
        <f t="shared" si="5"/>
        <v>-445433</v>
      </c>
    </row>
    <row r="108" spans="1:16" x14ac:dyDescent="0.35">
      <c r="A108" t="s">
        <v>45</v>
      </c>
      <c r="B108">
        <v>2534</v>
      </c>
      <c r="C108">
        <v>4916000</v>
      </c>
      <c r="D108">
        <v>2694000</v>
      </c>
      <c r="E108">
        <v>4374464</v>
      </c>
      <c r="F108">
        <v>4589867</v>
      </c>
      <c r="G108" s="5">
        <f>+C108/E108</f>
        <v>1.1237948237772672</v>
      </c>
      <c r="H108" s="5">
        <f>+D108/F108</f>
        <v>0.58694511191718624</v>
      </c>
      <c r="I108">
        <v>0.53680000000000005</v>
      </c>
      <c r="J108" s="1">
        <v>313811</v>
      </c>
      <c r="K108">
        <v>0.54800000000000004</v>
      </c>
      <c r="L108" s="1">
        <v>10492</v>
      </c>
      <c r="M108">
        <v>0.52229999999999999</v>
      </c>
      <c r="N108">
        <f t="shared" si="3"/>
        <v>-1354331</v>
      </c>
      <c r="O108">
        <f t="shared" si="4"/>
        <v>541536</v>
      </c>
      <c r="P108">
        <f t="shared" si="5"/>
        <v>-1895867</v>
      </c>
    </row>
    <row r="109" spans="1:16" x14ac:dyDescent="0.35">
      <c r="A109" t="s">
        <v>69</v>
      </c>
      <c r="B109">
        <v>2024</v>
      </c>
      <c r="C109">
        <v>12682500</v>
      </c>
      <c r="D109">
        <v>14525000</v>
      </c>
      <c r="E109">
        <v>11587245</v>
      </c>
      <c r="F109">
        <v>10886816</v>
      </c>
      <c r="G109" s="5">
        <f>+C109/E109</f>
        <v>1.0945224684556165</v>
      </c>
      <c r="H109" s="5">
        <f>+D109/F109</f>
        <v>1.3341825562221314</v>
      </c>
      <c r="I109">
        <v>-0.2397</v>
      </c>
      <c r="J109" s="1">
        <v>-98678</v>
      </c>
      <c r="K109" s="1">
        <v>11453</v>
      </c>
      <c r="L109">
        <v>0.93959999999999999</v>
      </c>
      <c r="M109" s="1">
        <v>12189</v>
      </c>
      <c r="N109">
        <f t="shared" si="3"/>
        <v>4733439</v>
      </c>
      <c r="O109">
        <f t="shared" si="4"/>
        <v>1095255</v>
      </c>
      <c r="P109">
        <f t="shared" si="5"/>
        <v>3638184</v>
      </c>
    </row>
    <row r="110" spans="1:16" x14ac:dyDescent="0.35">
      <c r="A110" t="s">
        <v>37</v>
      </c>
      <c r="B110">
        <v>2534</v>
      </c>
      <c r="C110">
        <v>573000</v>
      </c>
      <c r="D110">
        <v>736000</v>
      </c>
      <c r="E110">
        <v>534615</v>
      </c>
      <c r="F110">
        <v>486979</v>
      </c>
      <c r="G110" s="5">
        <f>+C110/E110</f>
        <v>1.0717993322297354</v>
      </c>
      <c r="H110" s="5">
        <f>+D110/F110</f>
        <v>1.5113588060265433</v>
      </c>
      <c r="I110">
        <v>-0.43959999999999999</v>
      </c>
      <c r="J110" s="1">
        <v>-170164</v>
      </c>
      <c r="K110" s="1">
        <v>12845</v>
      </c>
      <c r="L110">
        <v>0.91090000000000004</v>
      </c>
      <c r="M110" s="1">
        <v>14101</v>
      </c>
      <c r="N110">
        <f t="shared" si="3"/>
        <v>287406</v>
      </c>
      <c r="O110">
        <f t="shared" si="4"/>
        <v>38385</v>
      </c>
      <c r="P110">
        <f t="shared" si="5"/>
        <v>249021</v>
      </c>
    </row>
    <row r="111" spans="1:16" x14ac:dyDescent="0.35">
      <c r="A111" t="s">
        <v>63</v>
      </c>
      <c r="B111">
        <v>2534</v>
      </c>
      <c r="C111">
        <v>1087500</v>
      </c>
      <c r="D111">
        <v>1103000</v>
      </c>
      <c r="E111">
        <v>1046933</v>
      </c>
      <c r="F111">
        <v>998628</v>
      </c>
      <c r="G111" s="5">
        <f>+C111/E111</f>
        <v>1.0387484203860229</v>
      </c>
      <c r="H111" s="5">
        <f>+D111/F111</f>
        <v>1.1045153951221076</v>
      </c>
      <c r="I111">
        <v>-6.5799999999999997E-2</v>
      </c>
      <c r="J111" s="1">
        <v>-30685</v>
      </c>
      <c r="K111" s="1">
        <v>10143</v>
      </c>
      <c r="L111">
        <v>0.95389999999999997</v>
      </c>
      <c r="M111" s="1">
        <v>10633</v>
      </c>
      <c r="N111">
        <f t="shared" si="3"/>
        <v>144939</v>
      </c>
      <c r="O111">
        <f t="shared" si="4"/>
        <v>40567</v>
      </c>
      <c r="P111">
        <f t="shared" si="5"/>
        <v>104372</v>
      </c>
    </row>
    <row r="112" spans="1:16" x14ac:dyDescent="0.35">
      <c r="A112" t="s">
        <v>43</v>
      </c>
      <c r="B112">
        <v>4554</v>
      </c>
      <c r="C112">
        <v>9155000</v>
      </c>
      <c r="D112">
        <v>12168500</v>
      </c>
      <c r="E112">
        <v>9259254</v>
      </c>
      <c r="F112">
        <v>9116671</v>
      </c>
      <c r="G112" s="5">
        <f>+C112/E112</f>
        <v>0.98874056160463897</v>
      </c>
      <c r="H112" s="5">
        <f>+D112/F112</f>
        <v>1.3347525648342471</v>
      </c>
      <c r="I112">
        <v>-0.34599999999999997</v>
      </c>
      <c r="J112" s="1">
        <v>-148919</v>
      </c>
      <c r="K112" s="1">
        <v>13292</v>
      </c>
      <c r="L112">
        <v>0.98460000000000003</v>
      </c>
      <c r="M112" s="2" t="s">
        <v>75</v>
      </c>
      <c r="N112">
        <f t="shared" si="3"/>
        <v>2947575</v>
      </c>
      <c r="O112">
        <f t="shared" si="4"/>
        <v>-104254</v>
      </c>
      <c r="P112">
        <f t="shared" si="5"/>
        <v>3051829</v>
      </c>
    </row>
    <row r="113" spans="1:16" x14ac:dyDescent="0.35">
      <c r="A113" t="s">
        <v>55</v>
      </c>
      <c r="B113">
        <v>2534</v>
      </c>
      <c r="C113">
        <v>848500</v>
      </c>
      <c r="D113">
        <v>403000</v>
      </c>
      <c r="E113">
        <v>871609</v>
      </c>
      <c r="F113">
        <v>379817</v>
      </c>
      <c r="G113" s="5">
        <f>+C113/E113</f>
        <v>0.97348696491201903</v>
      </c>
      <c r="H113" s="5">
        <f>+D113/F113</f>
        <v>1.061037289010234</v>
      </c>
      <c r="I113">
        <v>-8.7599999999999997E-2</v>
      </c>
      <c r="J113" s="1">
        <v>-43032</v>
      </c>
      <c r="K113">
        <v>0.47499999999999998</v>
      </c>
      <c r="L113">
        <v>0.43580000000000002</v>
      </c>
      <c r="M113" s="1">
        <v>10899</v>
      </c>
      <c r="N113">
        <f t="shared" si="3"/>
        <v>74</v>
      </c>
      <c r="O113">
        <f t="shared" si="4"/>
        <v>-23109</v>
      </c>
      <c r="P113">
        <f t="shared" si="5"/>
        <v>23183</v>
      </c>
    </row>
    <row r="114" spans="1:16" x14ac:dyDescent="0.35">
      <c r="A114" t="s">
        <v>44</v>
      </c>
      <c r="B114">
        <v>3544</v>
      </c>
      <c r="C114">
        <v>1432000</v>
      </c>
      <c r="D114">
        <v>1008500</v>
      </c>
      <c r="E114">
        <v>1496148</v>
      </c>
      <c r="F114">
        <v>1496632</v>
      </c>
      <c r="G114" s="5">
        <f>+C114/E114</f>
        <v>0.95712456254327782</v>
      </c>
      <c r="H114" s="5">
        <f>+D114/F114</f>
        <v>0.67384634298879087</v>
      </c>
      <c r="I114">
        <v>0.2833</v>
      </c>
      <c r="J114" s="1">
        <v>173687</v>
      </c>
      <c r="K114">
        <v>0.70430000000000004</v>
      </c>
      <c r="L114" s="1">
        <v>10003</v>
      </c>
      <c r="M114">
        <v>0.70409999999999995</v>
      </c>
      <c r="N114">
        <f t="shared" si="3"/>
        <v>-552280</v>
      </c>
      <c r="O114">
        <f t="shared" si="4"/>
        <v>-64148</v>
      </c>
      <c r="P114">
        <f t="shared" si="5"/>
        <v>-488132</v>
      </c>
    </row>
    <row r="115" spans="1:16" x14ac:dyDescent="0.35">
      <c r="A115" t="s">
        <v>60</v>
      </c>
      <c r="B115">
        <v>2534</v>
      </c>
      <c r="C115">
        <v>546000</v>
      </c>
      <c r="D115">
        <v>777000</v>
      </c>
      <c r="E115">
        <v>573058</v>
      </c>
      <c r="F115">
        <v>557579</v>
      </c>
      <c r="G115" s="5">
        <f>+C115/E115</f>
        <v>0.95278313887948518</v>
      </c>
      <c r="H115" s="5">
        <f>+D115/F115</f>
        <v>1.3935245050477152</v>
      </c>
      <c r="I115">
        <v>-0.44069999999999998</v>
      </c>
      <c r="J115" s="1">
        <v>-187845</v>
      </c>
      <c r="K115" s="1">
        <v>14231</v>
      </c>
      <c r="L115">
        <v>0.97299999999999998</v>
      </c>
      <c r="M115" s="1">
        <v>14626</v>
      </c>
      <c r="N115">
        <f t="shared" si="3"/>
        <v>192363</v>
      </c>
      <c r="O115">
        <f t="shared" si="4"/>
        <v>-27058</v>
      </c>
      <c r="P115">
        <f t="shared" si="5"/>
        <v>219421</v>
      </c>
    </row>
    <row r="116" spans="1:16" x14ac:dyDescent="0.35">
      <c r="A116" t="s">
        <v>64</v>
      </c>
      <c r="B116">
        <v>4554</v>
      </c>
      <c r="C116">
        <v>2411000</v>
      </c>
      <c r="D116">
        <v>2811500</v>
      </c>
      <c r="E116">
        <v>2549360</v>
      </c>
      <c r="F116">
        <v>1257870</v>
      </c>
      <c r="G116" s="5">
        <f>+C116/E116</f>
        <v>0.94572755515109674</v>
      </c>
      <c r="H116" s="5">
        <f>+D116/F116</f>
        <v>2.2351276364012178</v>
      </c>
      <c r="I116" s="1">
        <v>-12894</v>
      </c>
      <c r="J116" s="1">
        <v>-405363</v>
      </c>
      <c r="K116" s="1">
        <v>11661</v>
      </c>
      <c r="L116">
        <v>0.49340000000000001</v>
      </c>
      <c r="M116" s="1">
        <v>23634</v>
      </c>
      <c r="N116">
        <f t="shared" si="3"/>
        <v>1415270</v>
      </c>
      <c r="O116">
        <f t="shared" si="4"/>
        <v>-138360</v>
      </c>
      <c r="P116">
        <f t="shared" si="5"/>
        <v>1553630</v>
      </c>
    </row>
    <row r="117" spans="1:16" x14ac:dyDescent="0.35">
      <c r="A117" t="s">
        <v>17</v>
      </c>
      <c r="B117">
        <v>3544</v>
      </c>
      <c r="C117">
        <v>790500</v>
      </c>
      <c r="D117">
        <v>517000</v>
      </c>
      <c r="E117">
        <v>836349</v>
      </c>
      <c r="F117">
        <v>875976</v>
      </c>
      <c r="G117" s="5">
        <f>+C117/E117</f>
        <v>0.94517958412098302</v>
      </c>
      <c r="H117" s="5">
        <f>+D117/F117</f>
        <v>0.59019881823246301</v>
      </c>
      <c r="I117">
        <v>0.35499999999999998</v>
      </c>
      <c r="J117" s="1">
        <v>231201</v>
      </c>
      <c r="K117">
        <v>0.65400000000000003</v>
      </c>
      <c r="L117" s="1">
        <v>10474</v>
      </c>
      <c r="M117">
        <v>0.62439999999999996</v>
      </c>
      <c r="N117">
        <f t="shared" si="3"/>
        <v>-404825</v>
      </c>
      <c r="O117">
        <f t="shared" si="4"/>
        <v>-45849</v>
      </c>
      <c r="P117">
        <f t="shared" si="5"/>
        <v>-358976</v>
      </c>
    </row>
    <row r="118" spans="1:16" x14ac:dyDescent="0.35">
      <c r="A118" t="s">
        <v>13</v>
      </c>
      <c r="B118">
        <v>4554</v>
      </c>
      <c r="C118">
        <v>852500</v>
      </c>
      <c r="D118">
        <v>660500</v>
      </c>
      <c r="E118">
        <v>902422</v>
      </c>
      <c r="F118">
        <v>387986</v>
      </c>
      <c r="G118" s="5">
        <f>+C118/E118</f>
        <v>0.94467998342239001</v>
      </c>
      <c r="H118" s="5">
        <f>+D118/F118</f>
        <v>1.7023810137479187</v>
      </c>
      <c r="I118">
        <v>-0.75770000000000004</v>
      </c>
      <c r="J118" s="1">
        <v>-286242</v>
      </c>
      <c r="K118">
        <v>0.77480000000000004</v>
      </c>
      <c r="L118">
        <v>0.4299</v>
      </c>
      <c r="M118" s="1">
        <v>18023</v>
      </c>
      <c r="N118">
        <f t="shared" si="3"/>
        <v>222592</v>
      </c>
      <c r="O118">
        <f t="shared" si="4"/>
        <v>-49922</v>
      </c>
      <c r="P118">
        <f t="shared" si="5"/>
        <v>272514</v>
      </c>
    </row>
    <row r="119" spans="1:16" x14ac:dyDescent="0.35">
      <c r="A119" t="s">
        <v>47</v>
      </c>
      <c r="B119" t="s">
        <v>14</v>
      </c>
      <c r="C119">
        <v>232000</v>
      </c>
      <c r="D119">
        <v>163500</v>
      </c>
      <c r="E119">
        <v>247661</v>
      </c>
      <c r="F119">
        <v>136415</v>
      </c>
      <c r="G119" s="5">
        <f>+C119/E119</f>
        <v>0.93676436742159641</v>
      </c>
      <c r="H119" s="5">
        <f>+D119/F119</f>
        <v>1.1985485467140711</v>
      </c>
      <c r="I119">
        <v>-0.26179999999999998</v>
      </c>
      <c r="J119" s="1">
        <v>-122598</v>
      </c>
      <c r="K119">
        <v>0.70469999999999999</v>
      </c>
      <c r="L119">
        <v>0.55079999999999996</v>
      </c>
      <c r="M119" s="1">
        <v>12794</v>
      </c>
      <c r="N119">
        <f t="shared" si="3"/>
        <v>11424</v>
      </c>
      <c r="O119">
        <f t="shared" si="4"/>
        <v>-15661</v>
      </c>
      <c r="P119">
        <f t="shared" si="5"/>
        <v>27085</v>
      </c>
    </row>
    <row r="120" spans="1:16" x14ac:dyDescent="0.35">
      <c r="A120" t="s">
        <v>43</v>
      </c>
      <c r="B120" t="s">
        <v>14</v>
      </c>
      <c r="C120">
        <v>7454000</v>
      </c>
      <c r="D120">
        <v>8260500</v>
      </c>
      <c r="E120">
        <v>8183770</v>
      </c>
      <c r="F120">
        <v>8036868</v>
      </c>
      <c r="G120" s="5">
        <f>+C120/E120</f>
        <v>0.91082716156490229</v>
      </c>
      <c r="H120" s="5">
        <f>+D120/F120</f>
        <v>1.0278257649621718</v>
      </c>
      <c r="I120">
        <v>-0.11700000000000001</v>
      </c>
      <c r="J120" s="1">
        <v>-6035</v>
      </c>
      <c r="K120" s="1">
        <v>11082</v>
      </c>
      <c r="L120">
        <v>0.98199999999999998</v>
      </c>
      <c r="M120" s="1">
        <v>11285</v>
      </c>
      <c r="N120">
        <f t="shared" si="3"/>
        <v>-506138</v>
      </c>
      <c r="O120">
        <f t="shared" si="4"/>
        <v>-729770</v>
      </c>
      <c r="P120">
        <f t="shared" si="5"/>
        <v>223632</v>
      </c>
    </row>
    <row r="121" spans="1:16" x14ac:dyDescent="0.35">
      <c r="A121" t="s">
        <v>40</v>
      </c>
      <c r="B121">
        <v>2534</v>
      </c>
      <c r="C121">
        <v>299500</v>
      </c>
      <c r="D121">
        <v>439000</v>
      </c>
      <c r="E121">
        <v>329170</v>
      </c>
      <c r="F121">
        <v>322091</v>
      </c>
      <c r="G121" s="5">
        <f>+C121/E121</f>
        <v>0.9098642039067959</v>
      </c>
      <c r="H121" s="5">
        <f>+D121/F121</f>
        <v>1.3629688504180495</v>
      </c>
      <c r="I121">
        <v>-0.4531</v>
      </c>
      <c r="J121" s="1">
        <v>-199357</v>
      </c>
      <c r="K121" s="1">
        <v>14658</v>
      </c>
      <c r="L121">
        <v>0.97850000000000004</v>
      </c>
      <c r="M121" s="1">
        <v>1498</v>
      </c>
      <c r="N121">
        <f t="shared" si="3"/>
        <v>87239</v>
      </c>
      <c r="O121">
        <f t="shared" si="4"/>
        <v>-29670</v>
      </c>
      <c r="P121">
        <f t="shared" si="5"/>
        <v>116909</v>
      </c>
    </row>
    <row r="122" spans="1:16" x14ac:dyDescent="0.35">
      <c r="A122" t="s">
        <v>33</v>
      </c>
      <c r="B122">
        <v>2534</v>
      </c>
      <c r="C122">
        <v>2372500</v>
      </c>
      <c r="D122">
        <v>2570500</v>
      </c>
      <c r="E122">
        <v>2621150</v>
      </c>
      <c r="F122">
        <v>2535200</v>
      </c>
      <c r="G122" s="5">
        <f>+C122/E122</f>
        <v>0.90513705816149403</v>
      </c>
      <c r="H122" s="5">
        <f>+D122/F122</f>
        <v>1.0139239507731146</v>
      </c>
      <c r="I122">
        <v>-0.10879999999999999</v>
      </c>
      <c r="J122" s="1">
        <v>-56688</v>
      </c>
      <c r="K122" s="1">
        <v>10835</v>
      </c>
      <c r="L122">
        <v>0.96719999999999995</v>
      </c>
      <c r="M122" s="1">
        <v>11202</v>
      </c>
      <c r="N122">
        <f t="shared" si="3"/>
        <v>-213350</v>
      </c>
      <c r="O122">
        <f t="shared" si="4"/>
        <v>-248650</v>
      </c>
      <c r="P122">
        <f t="shared" si="5"/>
        <v>35300</v>
      </c>
    </row>
    <row r="123" spans="1:16" x14ac:dyDescent="0.35">
      <c r="A123" t="s">
        <v>66</v>
      </c>
      <c r="B123" t="s">
        <v>14</v>
      </c>
      <c r="C123">
        <v>3929500</v>
      </c>
      <c r="D123">
        <v>2392500</v>
      </c>
      <c r="E123">
        <v>4357324</v>
      </c>
      <c r="F123">
        <v>4484460</v>
      </c>
      <c r="G123" s="5">
        <f>+C123/E123</f>
        <v>0.90181496716792231</v>
      </c>
      <c r="H123" s="5">
        <f>+D123/F123</f>
        <v>0.53350905125700754</v>
      </c>
      <c r="I123">
        <v>0.36830000000000002</v>
      </c>
      <c r="J123" s="1">
        <v>256601</v>
      </c>
      <c r="K123">
        <v>0.6089</v>
      </c>
      <c r="L123" s="1">
        <v>10292</v>
      </c>
      <c r="M123">
        <v>0.59160000000000001</v>
      </c>
      <c r="N123">
        <f t="shared" si="3"/>
        <v>-2519784</v>
      </c>
      <c r="O123">
        <f t="shared" si="4"/>
        <v>-427824</v>
      </c>
      <c r="P123">
        <f t="shared" si="5"/>
        <v>-2091960</v>
      </c>
    </row>
    <row r="124" spans="1:16" x14ac:dyDescent="0.35">
      <c r="A124" t="s">
        <v>26</v>
      </c>
      <c r="B124">
        <v>3544</v>
      </c>
      <c r="C124">
        <v>358500</v>
      </c>
      <c r="D124">
        <v>300500</v>
      </c>
      <c r="E124">
        <v>402239</v>
      </c>
      <c r="F124">
        <v>400163</v>
      </c>
      <c r="G124" s="5">
        <f>+C124/E124</f>
        <v>0.8912611656254118</v>
      </c>
      <c r="H124" s="5">
        <f>+D124/F124</f>
        <v>0.75094399032394299</v>
      </c>
      <c r="I124">
        <v>0.14030000000000001</v>
      </c>
      <c r="J124" s="1">
        <v>85444</v>
      </c>
      <c r="K124">
        <v>0.83819999999999995</v>
      </c>
      <c r="L124">
        <v>0.99480000000000002</v>
      </c>
      <c r="M124">
        <v>0.84260000000000002</v>
      </c>
      <c r="N124">
        <f t="shared" si="3"/>
        <v>-143402</v>
      </c>
      <c r="O124">
        <f t="shared" si="4"/>
        <v>-43739</v>
      </c>
      <c r="P124">
        <f t="shared" si="5"/>
        <v>-99663</v>
      </c>
    </row>
    <row r="125" spans="1:16" x14ac:dyDescent="0.35">
      <c r="A125" t="s">
        <v>22</v>
      </c>
      <c r="B125">
        <v>3544</v>
      </c>
      <c r="C125">
        <v>745000</v>
      </c>
      <c r="D125">
        <v>607500</v>
      </c>
      <c r="E125">
        <v>845312</v>
      </c>
      <c r="F125">
        <v>834288</v>
      </c>
      <c r="G125" s="5">
        <f>+C125/E125</f>
        <v>0.88133139006662631</v>
      </c>
      <c r="H125" s="5">
        <f>+D125/F125</f>
        <v>0.72816581324434726</v>
      </c>
      <c r="I125">
        <v>0.1532</v>
      </c>
      <c r="J125" s="1">
        <v>95164</v>
      </c>
      <c r="K125">
        <v>0.81540000000000001</v>
      </c>
      <c r="L125">
        <v>0.98699999999999999</v>
      </c>
      <c r="M125">
        <v>0.82609999999999995</v>
      </c>
      <c r="N125">
        <f t="shared" si="3"/>
        <v>-327100</v>
      </c>
      <c r="O125">
        <f t="shared" si="4"/>
        <v>-100312</v>
      </c>
      <c r="P125">
        <f t="shared" si="5"/>
        <v>-226788</v>
      </c>
    </row>
    <row r="126" spans="1:16" x14ac:dyDescent="0.35">
      <c r="A126" t="s">
        <v>57</v>
      </c>
      <c r="B126">
        <v>3544</v>
      </c>
      <c r="C126">
        <v>267000</v>
      </c>
      <c r="D126">
        <v>215000</v>
      </c>
      <c r="E126">
        <v>315651</v>
      </c>
      <c r="F126">
        <v>312434</v>
      </c>
      <c r="G126" s="5">
        <f>+C126/E126</f>
        <v>0.84587091439596263</v>
      </c>
      <c r="H126" s="5">
        <f>+D126/F126</f>
        <v>0.6881453362950255</v>
      </c>
      <c r="I126">
        <v>0.15770000000000001</v>
      </c>
      <c r="J126" s="1">
        <v>102819</v>
      </c>
      <c r="K126">
        <v>0.80520000000000003</v>
      </c>
      <c r="L126">
        <v>0.98980000000000001</v>
      </c>
      <c r="M126">
        <v>0.8135</v>
      </c>
      <c r="N126">
        <f t="shared" si="3"/>
        <v>-146085</v>
      </c>
      <c r="O126">
        <f t="shared" si="4"/>
        <v>-48651</v>
      </c>
      <c r="P126">
        <f t="shared" si="5"/>
        <v>-97434</v>
      </c>
    </row>
    <row r="127" spans="1:16" x14ac:dyDescent="0.35">
      <c r="A127" t="s">
        <v>30</v>
      </c>
      <c r="B127">
        <v>3544</v>
      </c>
      <c r="C127">
        <v>653000</v>
      </c>
      <c r="D127">
        <v>464000</v>
      </c>
      <c r="E127">
        <v>774906</v>
      </c>
      <c r="F127">
        <v>774927</v>
      </c>
      <c r="G127" s="5">
        <f>+C127/E127</f>
        <v>0.84268285443653812</v>
      </c>
      <c r="H127" s="5">
        <f>+D127/F127</f>
        <v>0.59876607732083154</v>
      </c>
      <c r="I127">
        <v>0.24390000000000001</v>
      </c>
      <c r="J127" s="1">
        <v>169216</v>
      </c>
      <c r="K127">
        <v>0.71060000000000001</v>
      </c>
      <c r="L127">
        <v>1</v>
      </c>
      <c r="M127">
        <v>0.71060000000000001</v>
      </c>
      <c r="N127">
        <f t="shared" si="3"/>
        <v>-432833</v>
      </c>
      <c r="O127">
        <f t="shared" si="4"/>
        <v>-121906</v>
      </c>
      <c r="P127">
        <f t="shared" si="5"/>
        <v>-310927</v>
      </c>
    </row>
    <row r="128" spans="1:16" x14ac:dyDescent="0.35">
      <c r="A128" t="s">
        <v>36</v>
      </c>
      <c r="B128">
        <v>2534</v>
      </c>
      <c r="C128">
        <v>3879500</v>
      </c>
      <c r="D128">
        <v>4435000</v>
      </c>
      <c r="E128">
        <v>4644573</v>
      </c>
      <c r="F128">
        <v>4444439</v>
      </c>
      <c r="G128" s="5">
        <f>+C128/E128</f>
        <v>0.83527592310423371</v>
      </c>
      <c r="H128" s="5">
        <f>+D128/F128</f>
        <v>0.99787622239837248</v>
      </c>
      <c r="I128">
        <v>-0.16259999999999999</v>
      </c>
      <c r="J128">
        <v>-8.8699999999999992</v>
      </c>
      <c r="K128" s="1">
        <v>11432</v>
      </c>
      <c r="L128">
        <v>0.95689999999999997</v>
      </c>
      <c r="M128" s="1">
        <v>11947</v>
      </c>
      <c r="N128">
        <f t="shared" si="3"/>
        <v>-774512</v>
      </c>
      <c r="O128">
        <f t="shared" si="4"/>
        <v>-765073</v>
      </c>
      <c r="P128">
        <f t="shared" si="5"/>
        <v>-9439</v>
      </c>
    </row>
    <row r="129" spans="1:16" x14ac:dyDescent="0.35">
      <c r="A129" t="s">
        <v>35</v>
      </c>
      <c r="B129">
        <v>2534</v>
      </c>
      <c r="C129">
        <v>3273500</v>
      </c>
      <c r="D129">
        <v>3547500</v>
      </c>
      <c r="E129">
        <v>3943909</v>
      </c>
      <c r="F129">
        <v>3895621</v>
      </c>
      <c r="G129" s="5">
        <f>+C129/E129</f>
        <v>0.83001407993947118</v>
      </c>
      <c r="H129" s="5">
        <f>+D129/F129</f>
        <v>0.91063786749275666</v>
      </c>
      <c r="I129">
        <v>-8.0600000000000005E-2</v>
      </c>
      <c r="J129" s="1">
        <v>-46318</v>
      </c>
      <c r="K129" s="1">
        <v>10837</v>
      </c>
      <c r="L129">
        <v>0.98780000000000001</v>
      </c>
      <c r="M129" s="1">
        <v>10971</v>
      </c>
      <c r="N129">
        <f t="shared" si="3"/>
        <v>-1018530</v>
      </c>
      <c r="O129">
        <f t="shared" si="4"/>
        <v>-670409</v>
      </c>
      <c r="P129">
        <f t="shared" si="5"/>
        <v>-348121</v>
      </c>
    </row>
    <row r="130" spans="1:16" x14ac:dyDescent="0.35">
      <c r="A130" t="s">
        <v>58</v>
      </c>
      <c r="B130">
        <v>2534</v>
      </c>
      <c r="C130">
        <v>1802000</v>
      </c>
      <c r="D130">
        <v>2375000</v>
      </c>
      <c r="E130">
        <v>2176934</v>
      </c>
      <c r="F130">
        <v>2085764</v>
      </c>
      <c r="G130" s="5">
        <f>+C130/E130</f>
        <v>0.82776969811670909</v>
      </c>
      <c r="H130" s="5">
        <f>+D130/F130</f>
        <v>1.1386714892001204</v>
      </c>
      <c r="I130">
        <v>-0.31090000000000001</v>
      </c>
      <c r="J130" s="1">
        <v>-158104</v>
      </c>
      <c r="K130" s="1">
        <v>1318</v>
      </c>
      <c r="L130">
        <v>0.95809999999999995</v>
      </c>
      <c r="M130" s="1">
        <v>13756</v>
      </c>
      <c r="N130">
        <f t="shared" si="3"/>
        <v>-85698</v>
      </c>
      <c r="O130">
        <f t="shared" si="4"/>
        <v>-374934</v>
      </c>
      <c r="P130">
        <f t="shared" si="5"/>
        <v>289236</v>
      </c>
    </row>
    <row r="131" spans="1:16" x14ac:dyDescent="0.35">
      <c r="A131" t="s">
        <v>46</v>
      </c>
      <c r="B131" t="s">
        <v>14</v>
      </c>
      <c r="C131">
        <v>3456500</v>
      </c>
      <c r="D131">
        <v>3856000</v>
      </c>
      <c r="E131">
        <v>4191824</v>
      </c>
      <c r="F131">
        <v>4233539</v>
      </c>
      <c r="G131" s="5">
        <f>+C131/E131</f>
        <v>0.82458137555393551</v>
      </c>
      <c r="H131" s="5">
        <f>+D131/F131</f>
        <v>0.91082189156637039</v>
      </c>
      <c r="I131">
        <v>-8.6199999999999999E-2</v>
      </c>
      <c r="J131" s="1">
        <v>-49695</v>
      </c>
      <c r="K131" s="1">
        <v>11156</v>
      </c>
      <c r="L131" s="3" t="s">
        <v>76</v>
      </c>
      <c r="M131" s="1">
        <v>11046</v>
      </c>
      <c r="N131">
        <f t="shared" ref="N131:N194" si="6">+C131-E131+D131-F131</f>
        <v>-1112863</v>
      </c>
      <c r="O131">
        <f t="shared" ref="O131:O194" si="7">+C131-E131</f>
        <v>-735324</v>
      </c>
      <c r="P131">
        <f t="shared" ref="P131:P194" si="8">+D131-F131</f>
        <v>-377539</v>
      </c>
    </row>
    <row r="132" spans="1:16" x14ac:dyDescent="0.35">
      <c r="A132" t="s">
        <v>69</v>
      </c>
      <c r="B132" t="s">
        <v>14</v>
      </c>
      <c r="C132">
        <v>16837500</v>
      </c>
      <c r="D132">
        <v>9759500</v>
      </c>
      <c r="E132">
        <v>20612996</v>
      </c>
      <c r="F132">
        <v>20564704</v>
      </c>
      <c r="G132" s="5">
        <f>+C132/E132</f>
        <v>0.81683904658983097</v>
      </c>
      <c r="H132" s="5">
        <f>+D132/F132</f>
        <v>0.47457527227233615</v>
      </c>
      <c r="I132">
        <v>0.34229999999999999</v>
      </c>
      <c r="J132" s="1">
        <v>26503</v>
      </c>
      <c r="K132">
        <v>0.5796</v>
      </c>
      <c r="L132">
        <v>0.99770000000000003</v>
      </c>
      <c r="M132">
        <v>0.58089999999999997</v>
      </c>
      <c r="N132">
        <f t="shared" si="6"/>
        <v>-14580700</v>
      </c>
      <c r="O132">
        <f t="shared" si="7"/>
        <v>-3775496</v>
      </c>
      <c r="P132">
        <f t="shared" si="8"/>
        <v>-10805204</v>
      </c>
    </row>
    <row r="133" spans="1:16" x14ac:dyDescent="0.35">
      <c r="A133" t="s">
        <v>51</v>
      </c>
      <c r="B133">
        <v>3544</v>
      </c>
      <c r="C133">
        <v>7072000</v>
      </c>
      <c r="D133">
        <v>5973000</v>
      </c>
      <c r="E133">
        <v>8718110</v>
      </c>
      <c r="F133">
        <v>9707153</v>
      </c>
      <c r="G133" s="5">
        <f>+C133/E133</f>
        <v>0.81118499307762804</v>
      </c>
      <c r="H133" s="5">
        <f>+D133/F133</f>
        <v>0.61531944536158023</v>
      </c>
      <c r="I133">
        <v>0.19589999999999999</v>
      </c>
      <c r="J133" s="1">
        <v>137305</v>
      </c>
      <c r="K133">
        <v>0.84460000000000002</v>
      </c>
      <c r="L133" s="1">
        <v>11134</v>
      </c>
      <c r="M133">
        <v>0.75860000000000005</v>
      </c>
      <c r="N133">
        <f t="shared" si="6"/>
        <v>-5380263</v>
      </c>
      <c r="O133">
        <f t="shared" si="7"/>
        <v>-1646110</v>
      </c>
      <c r="P133">
        <f t="shared" si="8"/>
        <v>-3734153</v>
      </c>
    </row>
    <row r="134" spans="1:16" x14ac:dyDescent="0.35">
      <c r="A134" t="s">
        <v>69</v>
      </c>
      <c r="B134">
        <v>3544</v>
      </c>
      <c r="C134">
        <v>19250500</v>
      </c>
      <c r="D134">
        <v>15100500</v>
      </c>
      <c r="E134">
        <v>23766429</v>
      </c>
      <c r="F134">
        <v>22350890</v>
      </c>
      <c r="G134" s="5">
        <f>+C134/E134</f>
        <v>0.80998706200245729</v>
      </c>
      <c r="H134" s="5">
        <f>+D134/F134</f>
        <v>0.67561068038006544</v>
      </c>
      <c r="I134">
        <v>0.13439999999999999</v>
      </c>
      <c r="J134" s="1">
        <v>90453</v>
      </c>
      <c r="K134">
        <v>0.78439999999999999</v>
      </c>
      <c r="L134">
        <v>0.94040000000000001</v>
      </c>
      <c r="M134">
        <v>0.83409999999999995</v>
      </c>
      <c r="N134">
        <f t="shared" si="6"/>
        <v>-11766319</v>
      </c>
      <c r="O134">
        <f t="shared" si="7"/>
        <v>-4515929</v>
      </c>
      <c r="P134">
        <f t="shared" si="8"/>
        <v>-7250390</v>
      </c>
    </row>
    <row r="135" spans="1:16" x14ac:dyDescent="0.35">
      <c r="A135" t="s">
        <v>69</v>
      </c>
      <c r="B135">
        <v>2534</v>
      </c>
      <c r="C135">
        <v>18914000</v>
      </c>
      <c r="D135">
        <v>16256500</v>
      </c>
      <c r="E135">
        <v>23494305</v>
      </c>
      <c r="F135">
        <v>21927231</v>
      </c>
      <c r="G135" s="5">
        <f>+C135/E135</f>
        <v>0.80504615905854626</v>
      </c>
      <c r="H135" s="5">
        <f>+D135/F135</f>
        <v>0.74138408082625662</v>
      </c>
      <c r="I135">
        <v>6.3700000000000007E-2</v>
      </c>
      <c r="J135" s="1">
        <v>41167</v>
      </c>
      <c r="K135">
        <v>0.85950000000000004</v>
      </c>
      <c r="L135">
        <v>0.93330000000000002</v>
      </c>
      <c r="M135">
        <v>0.92090000000000005</v>
      </c>
      <c r="N135">
        <f t="shared" si="6"/>
        <v>-10251036</v>
      </c>
      <c r="O135">
        <f t="shared" si="7"/>
        <v>-4580305</v>
      </c>
      <c r="P135">
        <f t="shared" si="8"/>
        <v>-5670731</v>
      </c>
    </row>
    <row r="136" spans="1:16" x14ac:dyDescent="0.35">
      <c r="A136" t="s">
        <v>21</v>
      </c>
      <c r="B136">
        <v>3544</v>
      </c>
      <c r="C136">
        <v>598500</v>
      </c>
      <c r="D136">
        <v>440500</v>
      </c>
      <c r="E136">
        <v>745993</v>
      </c>
      <c r="F136">
        <v>733215</v>
      </c>
      <c r="G136" s="5">
        <f>+C136/E136</f>
        <v>0.80228634853142056</v>
      </c>
      <c r="H136" s="5">
        <f>+D136/F136</f>
        <v>0.60077876202750902</v>
      </c>
      <c r="I136">
        <v>0.20150000000000001</v>
      </c>
      <c r="J136" s="1">
        <v>14362</v>
      </c>
      <c r="K136">
        <v>0.73599999999999999</v>
      </c>
      <c r="L136">
        <v>0.9829</v>
      </c>
      <c r="M136">
        <v>0.74880000000000002</v>
      </c>
      <c r="N136">
        <f t="shared" si="6"/>
        <v>-440208</v>
      </c>
      <c r="O136">
        <f t="shared" si="7"/>
        <v>-147493</v>
      </c>
      <c r="P136">
        <f t="shared" si="8"/>
        <v>-292715</v>
      </c>
    </row>
    <row r="137" spans="1:16" x14ac:dyDescent="0.35">
      <c r="A137" t="s">
        <v>39</v>
      </c>
      <c r="B137">
        <v>2534</v>
      </c>
      <c r="C137">
        <v>476500</v>
      </c>
      <c r="D137">
        <v>590500</v>
      </c>
      <c r="E137">
        <v>594399</v>
      </c>
      <c r="F137">
        <v>557183</v>
      </c>
      <c r="G137" s="5">
        <f>+C137/E137</f>
        <v>0.80165007007077738</v>
      </c>
      <c r="H137" s="5">
        <f>+D137/F137</f>
        <v>1.059795435251973</v>
      </c>
      <c r="I137">
        <v>-0.2581</v>
      </c>
      <c r="J137" s="1">
        <v>-13868</v>
      </c>
      <c r="K137" s="1">
        <v>12392</v>
      </c>
      <c r="L137">
        <v>0.93740000000000001</v>
      </c>
      <c r="M137" s="1">
        <v>1322</v>
      </c>
      <c r="N137">
        <f t="shared" si="6"/>
        <v>-84582</v>
      </c>
      <c r="O137">
        <f t="shared" si="7"/>
        <v>-117899</v>
      </c>
      <c r="P137">
        <f t="shared" si="8"/>
        <v>33317</v>
      </c>
    </row>
    <row r="138" spans="1:16" x14ac:dyDescent="0.35">
      <c r="A138" t="s">
        <v>42</v>
      </c>
      <c r="B138">
        <v>2534</v>
      </c>
      <c r="C138">
        <v>2595000</v>
      </c>
      <c r="D138">
        <v>2783500</v>
      </c>
      <c r="E138">
        <v>3255173</v>
      </c>
      <c r="F138">
        <v>3013520</v>
      </c>
      <c r="G138" s="5">
        <f>+C138/E138</f>
        <v>0.7971926530479333</v>
      </c>
      <c r="H138" s="5">
        <f>+D138/F138</f>
        <v>0.92367065756988509</v>
      </c>
      <c r="I138">
        <v>-0.1265</v>
      </c>
      <c r="J138" s="1">
        <v>-73497</v>
      </c>
      <c r="K138" s="1">
        <v>10726</v>
      </c>
      <c r="L138">
        <v>0.92579999999999996</v>
      </c>
      <c r="M138" s="1">
        <v>11586</v>
      </c>
      <c r="N138">
        <f t="shared" si="6"/>
        <v>-890193</v>
      </c>
      <c r="O138">
        <f t="shared" si="7"/>
        <v>-660173</v>
      </c>
      <c r="P138">
        <f t="shared" si="8"/>
        <v>-230020</v>
      </c>
    </row>
    <row r="139" spans="1:16" x14ac:dyDescent="0.35">
      <c r="A139" t="s">
        <v>61</v>
      </c>
      <c r="B139">
        <v>3544</v>
      </c>
      <c r="C139">
        <v>400500</v>
      </c>
      <c r="D139">
        <v>293000</v>
      </c>
      <c r="E139">
        <v>504914</v>
      </c>
      <c r="F139">
        <v>496887</v>
      </c>
      <c r="G139" s="5">
        <f>+C139/E139</f>
        <v>0.79320438728179454</v>
      </c>
      <c r="H139" s="5">
        <f>+D139/F139</f>
        <v>0.58967129347316394</v>
      </c>
      <c r="I139">
        <v>0.20349999999999999</v>
      </c>
      <c r="J139" s="1">
        <v>147181</v>
      </c>
      <c r="K139">
        <v>0.73160000000000003</v>
      </c>
      <c r="L139">
        <v>0.98409999999999997</v>
      </c>
      <c r="M139">
        <v>0.74339999999999995</v>
      </c>
      <c r="N139">
        <f t="shared" si="6"/>
        <v>-308301</v>
      </c>
      <c r="O139">
        <f t="shared" si="7"/>
        <v>-104414</v>
      </c>
      <c r="P139">
        <f t="shared" si="8"/>
        <v>-203887</v>
      </c>
    </row>
    <row r="140" spans="1:16" x14ac:dyDescent="0.35">
      <c r="A140" t="s">
        <v>52</v>
      </c>
      <c r="B140">
        <v>2534</v>
      </c>
      <c r="C140">
        <v>13447000</v>
      </c>
      <c r="D140">
        <v>6321500</v>
      </c>
      <c r="E140">
        <v>16998814</v>
      </c>
      <c r="F140">
        <v>16420743</v>
      </c>
      <c r="G140" s="5">
        <f>+C140/E140</f>
        <v>0.79105518773250882</v>
      </c>
      <c r="H140" s="5">
        <f>+D140/F140</f>
        <v>0.38497039993866294</v>
      </c>
      <c r="I140">
        <v>0.40610000000000002</v>
      </c>
      <c r="J140" s="1">
        <v>345303</v>
      </c>
      <c r="K140">
        <v>0.47010000000000002</v>
      </c>
      <c r="L140">
        <v>0.96599999999999997</v>
      </c>
      <c r="M140">
        <v>0.48659999999999998</v>
      </c>
      <c r="N140">
        <f t="shared" si="6"/>
        <v>-13651057</v>
      </c>
      <c r="O140">
        <f t="shared" si="7"/>
        <v>-3551814</v>
      </c>
      <c r="P140">
        <f t="shared" si="8"/>
        <v>-10099243</v>
      </c>
    </row>
    <row r="141" spans="1:16" x14ac:dyDescent="0.35">
      <c r="A141" t="s">
        <v>18</v>
      </c>
      <c r="B141">
        <v>2534</v>
      </c>
      <c r="C141">
        <v>579500</v>
      </c>
      <c r="D141">
        <v>748500</v>
      </c>
      <c r="E141">
        <v>737309</v>
      </c>
      <c r="F141">
        <v>727246</v>
      </c>
      <c r="G141" s="5">
        <f>+C141/E141</f>
        <v>0.78596626380527024</v>
      </c>
      <c r="H141" s="5">
        <f>+D141/F141</f>
        <v>1.0292253240306581</v>
      </c>
      <c r="I141">
        <v>-0.24329999999999999</v>
      </c>
      <c r="J141" s="1">
        <v>-134013</v>
      </c>
      <c r="K141" s="1">
        <v>12916</v>
      </c>
      <c r="L141">
        <v>0.98640000000000005</v>
      </c>
      <c r="M141" s="1">
        <v>13094</v>
      </c>
      <c r="N141">
        <f t="shared" si="6"/>
        <v>-136555</v>
      </c>
      <c r="O141">
        <f t="shared" si="7"/>
        <v>-157809</v>
      </c>
      <c r="P141">
        <f t="shared" si="8"/>
        <v>21254</v>
      </c>
    </row>
    <row r="142" spans="1:16" x14ac:dyDescent="0.35">
      <c r="A142" t="s">
        <v>70</v>
      </c>
      <c r="B142">
        <v>4554</v>
      </c>
      <c r="C142">
        <v>2551500</v>
      </c>
      <c r="D142">
        <v>4652500</v>
      </c>
      <c r="E142">
        <v>3290462</v>
      </c>
      <c r="F142">
        <v>3493533</v>
      </c>
      <c r="G142" s="5">
        <f>+C142/E142</f>
        <v>0.77542302570277366</v>
      </c>
      <c r="H142" s="5">
        <f>+D142/F142</f>
        <v>1.331746401136042</v>
      </c>
      <c r="I142">
        <v>-0.55630000000000002</v>
      </c>
      <c r="J142" s="1">
        <v>-264015</v>
      </c>
      <c r="K142" s="1">
        <v>18234</v>
      </c>
      <c r="L142" s="1">
        <v>10617</v>
      </c>
      <c r="M142" s="1">
        <v>17174</v>
      </c>
      <c r="N142">
        <f t="shared" si="6"/>
        <v>420005</v>
      </c>
      <c r="O142">
        <f t="shared" si="7"/>
        <v>-738962</v>
      </c>
      <c r="P142">
        <f t="shared" si="8"/>
        <v>1158967</v>
      </c>
    </row>
    <row r="143" spans="1:16" x14ac:dyDescent="0.35">
      <c r="A143" t="s">
        <v>68</v>
      </c>
      <c r="B143">
        <v>3544</v>
      </c>
      <c r="C143">
        <v>173500</v>
      </c>
      <c r="D143">
        <v>149500</v>
      </c>
      <c r="E143">
        <v>224784</v>
      </c>
      <c r="F143">
        <v>221079</v>
      </c>
      <c r="G143" s="5">
        <f>+C143/E143</f>
        <v>0.77185208911666314</v>
      </c>
      <c r="H143" s="5">
        <f>+D143/F143</f>
        <v>0.6762288593670136</v>
      </c>
      <c r="I143">
        <v>9.5600000000000004E-2</v>
      </c>
      <c r="J143" s="1">
        <v>66034</v>
      </c>
      <c r="K143">
        <v>0.86170000000000002</v>
      </c>
      <c r="L143">
        <v>0.98350000000000004</v>
      </c>
      <c r="M143">
        <v>0.87619999999999998</v>
      </c>
      <c r="N143">
        <f t="shared" si="6"/>
        <v>-122863</v>
      </c>
      <c r="O143">
        <f t="shared" si="7"/>
        <v>-51284</v>
      </c>
      <c r="P143">
        <f t="shared" si="8"/>
        <v>-71579</v>
      </c>
    </row>
    <row r="144" spans="1:16" x14ac:dyDescent="0.35">
      <c r="A144" t="s">
        <v>67</v>
      </c>
      <c r="B144" t="s">
        <v>14</v>
      </c>
      <c r="C144">
        <v>1856000</v>
      </c>
      <c r="D144">
        <v>1805000</v>
      </c>
      <c r="E144">
        <v>2448926</v>
      </c>
      <c r="F144">
        <v>2901953</v>
      </c>
      <c r="G144" s="5">
        <f>+C144/E144</f>
        <v>0.75788325167849091</v>
      </c>
      <c r="H144" s="5">
        <f>+D144/F144</f>
        <v>0.62199491170256715</v>
      </c>
      <c r="I144">
        <v>0.13589999999999999</v>
      </c>
      <c r="J144" s="1">
        <v>98479</v>
      </c>
      <c r="K144">
        <v>0.97250000000000003</v>
      </c>
      <c r="L144" s="1">
        <v>1185</v>
      </c>
      <c r="M144">
        <v>0.82069999999999999</v>
      </c>
      <c r="N144">
        <f t="shared" si="6"/>
        <v>-1689879</v>
      </c>
      <c r="O144">
        <f t="shared" si="7"/>
        <v>-592926</v>
      </c>
      <c r="P144">
        <f t="shared" si="8"/>
        <v>-1096953</v>
      </c>
    </row>
    <row r="145" spans="1:16" x14ac:dyDescent="0.35">
      <c r="A145" t="s">
        <v>17</v>
      </c>
      <c r="B145" t="s">
        <v>14</v>
      </c>
      <c r="C145">
        <v>401000</v>
      </c>
      <c r="D145">
        <v>388000</v>
      </c>
      <c r="E145">
        <v>535285</v>
      </c>
      <c r="F145">
        <v>642342</v>
      </c>
      <c r="G145" s="5">
        <f>+C145/E145</f>
        <v>0.74913363908945707</v>
      </c>
      <c r="H145" s="5">
        <f>+D145/F145</f>
        <v>0.60403959261577167</v>
      </c>
      <c r="I145">
        <v>0.14510000000000001</v>
      </c>
      <c r="J145" s="1">
        <v>107225</v>
      </c>
      <c r="K145">
        <v>0.96760000000000002</v>
      </c>
      <c r="L145" s="3" t="s">
        <v>72</v>
      </c>
      <c r="M145">
        <v>0.80630000000000002</v>
      </c>
      <c r="N145">
        <f t="shared" si="6"/>
        <v>-388627</v>
      </c>
      <c r="O145">
        <f t="shared" si="7"/>
        <v>-134285</v>
      </c>
      <c r="P145">
        <f t="shared" si="8"/>
        <v>-254342</v>
      </c>
    </row>
    <row r="146" spans="1:16" x14ac:dyDescent="0.35">
      <c r="A146" t="s">
        <v>44</v>
      </c>
      <c r="B146" t="s">
        <v>14</v>
      </c>
      <c r="C146">
        <v>657000</v>
      </c>
      <c r="D146">
        <v>757500</v>
      </c>
      <c r="E146">
        <v>878789</v>
      </c>
      <c r="F146">
        <v>1052580</v>
      </c>
      <c r="G146" s="5">
        <f>+C146/E146</f>
        <v>0.74761973579550955</v>
      </c>
      <c r="H146" s="5">
        <f>+D146/F146</f>
        <v>0.71966026335290434</v>
      </c>
      <c r="I146">
        <v>2.8000000000000001E-2</v>
      </c>
      <c r="J146" s="1">
        <v>19055</v>
      </c>
      <c r="K146" s="1">
        <v>1153</v>
      </c>
      <c r="L146" s="1">
        <v>11978</v>
      </c>
      <c r="M146">
        <v>0.96260000000000001</v>
      </c>
      <c r="N146">
        <f t="shared" si="6"/>
        <v>-516869</v>
      </c>
      <c r="O146">
        <f t="shared" si="7"/>
        <v>-221789</v>
      </c>
      <c r="P146">
        <f t="shared" si="8"/>
        <v>-295080</v>
      </c>
    </row>
    <row r="147" spans="1:16" x14ac:dyDescent="0.35">
      <c r="A147" t="s">
        <v>65</v>
      </c>
      <c r="B147">
        <v>2534</v>
      </c>
      <c r="C147">
        <v>533000</v>
      </c>
      <c r="D147">
        <v>666000</v>
      </c>
      <c r="E147">
        <v>713835</v>
      </c>
      <c r="F147">
        <v>660188</v>
      </c>
      <c r="G147" s="5">
        <f>+C147/E147</f>
        <v>0.74667114949533153</v>
      </c>
      <c r="H147" s="5">
        <f>+D147/F147</f>
        <v>1.008803552927348</v>
      </c>
      <c r="I147">
        <v>-0.2621</v>
      </c>
      <c r="J147" s="1">
        <v>-149323</v>
      </c>
      <c r="K147" s="1">
        <v>12495</v>
      </c>
      <c r="L147">
        <v>0.92479999999999996</v>
      </c>
      <c r="M147" s="1">
        <v>13511</v>
      </c>
      <c r="N147">
        <f t="shared" si="6"/>
        <v>-175023</v>
      </c>
      <c r="O147">
        <f t="shared" si="7"/>
        <v>-180835</v>
      </c>
      <c r="P147">
        <f t="shared" si="8"/>
        <v>5812</v>
      </c>
    </row>
    <row r="148" spans="1:16" x14ac:dyDescent="0.35">
      <c r="A148" t="s">
        <v>38</v>
      </c>
      <c r="B148" t="s">
        <v>14</v>
      </c>
      <c r="C148">
        <v>322000</v>
      </c>
      <c r="D148">
        <v>329500</v>
      </c>
      <c r="E148">
        <v>435724</v>
      </c>
      <c r="F148">
        <v>532811</v>
      </c>
      <c r="G148" s="5">
        <f>+C148/E148</f>
        <v>0.73899991737889126</v>
      </c>
      <c r="H148" s="5">
        <f>+D148/F148</f>
        <v>0.61841816328867083</v>
      </c>
      <c r="I148">
        <v>0.1206</v>
      </c>
      <c r="J148" s="1">
        <v>88832</v>
      </c>
      <c r="K148" s="1">
        <v>10233</v>
      </c>
      <c r="L148" s="1">
        <v>12228</v>
      </c>
      <c r="M148">
        <v>0.83679999999999999</v>
      </c>
      <c r="N148">
        <f t="shared" si="6"/>
        <v>-317035</v>
      </c>
      <c r="O148">
        <f t="shared" si="7"/>
        <v>-113724</v>
      </c>
      <c r="P148">
        <f t="shared" si="8"/>
        <v>-203311</v>
      </c>
    </row>
    <row r="149" spans="1:16" x14ac:dyDescent="0.35">
      <c r="A149" t="s">
        <v>22</v>
      </c>
      <c r="B149" t="s">
        <v>14</v>
      </c>
      <c r="C149">
        <v>299000</v>
      </c>
      <c r="D149">
        <v>326000</v>
      </c>
      <c r="E149">
        <v>406697</v>
      </c>
      <c r="F149">
        <v>424884</v>
      </c>
      <c r="G149" s="5">
        <f>+C149/E149</f>
        <v>0.73519106361738595</v>
      </c>
      <c r="H149" s="5">
        <f>+D149/F149</f>
        <v>0.76726824262622273</v>
      </c>
      <c r="I149">
        <v>-3.2099999999999997E-2</v>
      </c>
      <c r="J149" s="1">
        <v>-2135</v>
      </c>
      <c r="K149" s="1">
        <v>10903</v>
      </c>
      <c r="L149" s="1">
        <v>10447</v>
      </c>
      <c r="M149" s="1">
        <v>10436</v>
      </c>
      <c r="N149">
        <f t="shared" si="6"/>
        <v>-206581</v>
      </c>
      <c r="O149">
        <f t="shared" si="7"/>
        <v>-107697</v>
      </c>
      <c r="P149">
        <f t="shared" si="8"/>
        <v>-98884</v>
      </c>
    </row>
    <row r="150" spans="1:16" x14ac:dyDescent="0.35">
      <c r="A150" t="s">
        <v>28</v>
      </c>
      <c r="B150">
        <v>2534</v>
      </c>
      <c r="C150">
        <v>3626000</v>
      </c>
      <c r="D150">
        <v>4191500</v>
      </c>
      <c r="E150">
        <v>4984372</v>
      </c>
      <c r="F150">
        <v>4580196</v>
      </c>
      <c r="G150" s="5">
        <f>+C150/E150</f>
        <v>0.72747379208453944</v>
      </c>
      <c r="H150" s="5">
        <f>+D150/F150</f>
        <v>0.91513550948474698</v>
      </c>
      <c r="I150">
        <v>-0.18770000000000001</v>
      </c>
      <c r="J150" s="1">
        <v>-114246</v>
      </c>
      <c r="K150" s="1">
        <v>1156</v>
      </c>
      <c r="L150">
        <v>0.91890000000000005</v>
      </c>
      <c r="M150" s="1">
        <v>1258</v>
      </c>
      <c r="N150">
        <f t="shared" si="6"/>
        <v>-1747068</v>
      </c>
      <c r="O150">
        <f t="shared" si="7"/>
        <v>-1358372</v>
      </c>
      <c r="P150">
        <f t="shared" si="8"/>
        <v>-388696</v>
      </c>
    </row>
    <row r="151" spans="1:16" x14ac:dyDescent="0.35">
      <c r="A151" t="s">
        <v>46</v>
      </c>
      <c r="B151">
        <v>4554</v>
      </c>
      <c r="C151">
        <v>2995000</v>
      </c>
      <c r="D151">
        <v>3299500</v>
      </c>
      <c r="E151">
        <v>4149582</v>
      </c>
      <c r="F151">
        <v>4025828</v>
      </c>
      <c r="G151" s="5">
        <f>+C151/E151</f>
        <v>0.72175944468623587</v>
      </c>
      <c r="H151" s="5">
        <f>+D151/F151</f>
        <v>0.81958295287329708</v>
      </c>
      <c r="I151">
        <v>-9.7799999999999998E-2</v>
      </c>
      <c r="J151" s="1">
        <v>-63466</v>
      </c>
      <c r="K151" s="1">
        <v>11017</v>
      </c>
      <c r="L151">
        <v>0.97019999999999995</v>
      </c>
      <c r="M151" s="1">
        <v>11355</v>
      </c>
      <c r="N151">
        <f t="shared" si="6"/>
        <v>-1880910</v>
      </c>
      <c r="O151">
        <f t="shared" si="7"/>
        <v>-1154582</v>
      </c>
      <c r="P151">
        <f t="shared" si="8"/>
        <v>-726328</v>
      </c>
    </row>
    <row r="152" spans="1:16" x14ac:dyDescent="0.35">
      <c r="A152" t="s">
        <v>67</v>
      </c>
      <c r="B152">
        <v>4554</v>
      </c>
      <c r="C152">
        <v>1808500</v>
      </c>
      <c r="D152">
        <v>2767000</v>
      </c>
      <c r="E152">
        <v>2535508</v>
      </c>
      <c r="F152">
        <v>2832335</v>
      </c>
      <c r="G152" s="5">
        <f>+C152/E152</f>
        <v>0.71326929356957269</v>
      </c>
      <c r="H152" s="5">
        <f>+D152/F152</f>
        <v>0.97693246031984216</v>
      </c>
      <c r="I152">
        <v>-0.26369999999999999</v>
      </c>
      <c r="J152" s="1">
        <v>-155995</v>
      </c>
      <c r="K152" s="2" t="s">
        <v>74</v>
      </c>
      <c r="L152" s="1">
        <v>11171</v>
      </c>
      <c r="M152" s="1">
        <v>13696</v>
      </c>
      <c r="N152">
        <f t="shared" si="6"/>
        <v>-792343</v>
      </c>
      <c r="O152">
        <f t="shared" si="7"/>
        <v>-727008</v>
      </c>
      <c r="P152">
        <f t="shared" si="8"/>
        <v>-65335</v>
      </c>
    </row>
    <row r="153" spans="1:16" x14ac:dyDescent="0.35">
      <c r="A153" t="s">
        <v>44</v>
      </c>
      <c r="B153">
        <v>4554</v>
      </c>
      <c r="C153">
        <v>786000</v>
      </c>
      <c r="D153">
        <v>652500</v>
      </c>
      <c r="E153">
        <v>1105995</v>
      </c>
      <c r="F153">
        <v>1204856</v>
      </c>
      <c r="G153" s="5">
        <f>+C153/E153</f>
        <v>0.71067229056189218</v>
      </c>
      <c r="H153" s="5">
        <f>+D153/F153</f>
        <v>0.54155849329712435</v>
      </c>
      <c r="I153">
        <v>0.1691</v>
      </c>
      <c r="J153" s="1">
        <v>13505</v>
      </c>
      <c r="K153">
        <v>0.83020000000000005</v>
      </c>
      <c r="L153" s="1">
        <v>10894</v>
      </c>
      <c r="M153">
        <v>0.7621</v>
      </c>
      <c r="N153">
        <f t="shared" si="6"/>
        <v>-872351</v>
      </c>
      <c r="O153">
        <f t="shared" si="7"/>
        <v>-319995</v>
      </c>
      <c r="P153">
        <f t="shared" si="8"/>
        <v>-552356</v>
      </c>
    </row>
    <row r="154" spans="1:16" x14ac:dyDescent="0.35">
      <c r="A154" t="s">
        <v>23</v>
      </c>
      <c r="B154">
        <v>3544</v>
      </c>
      <c r="C154">
        <v>11521000</v>
      </c>
      <c r="D154">
        <v>8653000</v>
      </c>
      <c r="E154">
        <v>16433230</v>
      </c>
      <c r="F154">
        <v>16709271</v>
      </c>
      <c r="G154" s="5">
        <f>+C154/E154</f>
        <v>0.70107945912033121</v>
      </c>
      <c r="H154" s="5">
        <f>+D154/F154</f>
        <v>0.51785622484667349</v>
      </c>
      <c r="I154">
        <v>0.1832</v>
      </c>
      <c r="J154" s="1">
        <v>150314</v>
      </c>
      <c r="K154">
        <v>0.75109999999999999</v>
      </c>
      <c r="L154" s="1">
        <v>10168</v>
      </c>
      <c r="M154">
        <v>0.73870000000000002</v>
      </c>
      <c r="N154">
        <f t="shared" si="6"/>
        <v>-12968501</v>
      </c>
      <c r="O154">
        <f t="shared" si="7"/>
        <v>-4912230</v>
      </c>
      <c r="P154">
        <f t="shared" si="8"/>
        <v>-8056271</v>
      </c>
    </row>
    <row r="155" spans="1:16" x14ac:dyDescent="0.35">
      <c r="A155" t="s">
        <v>38</v>
      </c>
      <c r="B155">
        <v>3544</v>
      </c>
      <c r="C155">
        <v>829500</v>
      </c>
      <c r="D155">
        <v>658000</v>
      </c>
      <c r="E155">
        <v>1194805</v>
      </c>
      <c r="F155">
        <v>1214797</v>
      </c>
      <c r="G155" s="5">
        <f>+C155/E155</f>
        <v>0.69425554797644806</v>
      </c>
      <c r="H155" s="5">
        <f>+D155/F155</f>
        <v>0.54165428462533249</v>
      </c>
      <c r="I155">
        <v>0.15260000000000001</v>
      </c>
      <c r="J155" s="1">
        <v>123473</v>
      </c>
      <c r="K155">
        <v>0.79320000000000002</v>
      </c>
      <c r="L155" s="1">
        <v>10167</v>
      </c>
      <c r="M155">
        <v>0.7802</v>
      </c>
      <c r="N155">
        <f t="shared" si="6"/>
        <v>-922102</v>
      </c>
      <c r="O155">
        <f t="shared" si="7"/>
        <v>-365305</v>
      </c>
      <c r="P155">
        <f t="shared" si="8"/>
        <v>-556797</v>
      </c>
    </row>
    <row r="156" spans="1:16" x14ac:dyDescent="0.35">
      <c r="A156" t="s">
        <v>48</v>
      </c>
      <c r="B156">
        <v>4554</v>
      </c>
      <c r="C156">
        <v>205000</v>
      </c>
      <c r="D156">
        <v>136000</v>
      </c>
      <c r="E156">
        <v>295621</v>
      </c>
      <c r="F156">
        <v>344876</v>
      </c>
      <c r="G156" s="5">
        <f>+C156/E156</f>
        <v>0.69345547170194266</v>
      </c>
      <c r="H156" s="5">
        <f>+D156/F156</f>
        <v>0.39434463401338454</v>
      </c>
      <c r="I156">
        <v>0.29909999999999998</v>
      </c>
      <c r="J156" s="1">
        <v>274969</v>
      </c>
      <c r="K156">
        <v>0.66339999999999999</v>
      </c>
      <c r="L156" s="1">
        <v>11666</v>
      </c>
      <c r="M156">
        <v>0.56869999999999998</v>
      </c>
      <c r="N156">
        <f t="shared" si="6"/>
        <v>-299497</v>
      </c>
      <c r="O156">
        <f t="shared" si="7"/>
        <v>-90621</v>
      </c>
      <c r="P156">
        <f t="shared" si="8"/>
        <v>-208876</v>
      </c>
    </row>
    <row r="157" spans="1:16" x14ac:dyDescent="0.35">
      <c r="A157" t="s">
        <v>48</v>
      </c>
      <c r="B157" t="s">
        <v>14</v>
      </c>
      <c r="C157">
        <v>191500</v>
      </c>
      <c r="D157">
        <v>161500</v>
      </c>
      <c r="E157">
        <v>277118</v>
      </c>
      <c r="F157">
        <v>315586</v>
      </c>
      <c r="G157" s="5">
        <f>+C157/E157</f>
        <v>0.69104136144169637</v>
      </c>
      <c r="H157" s="5">
        <f>+D157/F157</f>
        <v>0.51174640193164467</v>
      </c>
      <c r="I157">
        <v>0.17929999999999999</v>
      </c>
      <c r="J157" s="1">
        <v>149066</v>
      </c>
      <c r="K157">
        <v>0.84330000000000005</v>
      </c>
      <c r="L157" s="1">
        <v>11388</v>
      </c>
      <c r="M157">
        <v>0.74050000000000005</v>
      </c>
      <c r="N157">
        <f t="shared" si="6"/>
        <v>-239704</v>
      </c>
      <c r="O157">
        <f t="shared" si="7"/>
        <v>-85618</v>
      </c>
      <c r="P157">
        <f t="shared" si="8"/>
        <v>-154086</v>
      </c>
    </row>
    <row r="158" spans="1:16" x14ac:dyDescent="0.35">
      <c r="A158" t="s">
        <v>66</v>
      </c>
      <c r="B158">
        <v>4554</v>
      </c>
      <c r="C158">
        <v>3973000</v>
      </c>
      <c r="D158">
        <v>3807000</v>
      </c>
      <c r="E158">
        <v>5760318</v>
      </c>
      <c r="F158">
        <v>5763473</v>
      </c>
      <c r="G158" s="5">
        <f>+C158/E158</f>
        <v>0.68971886621537215</v>
      </c>
      <c r="H158" s="5">
        <f>+D158/F158</f>
        <v>0.66053922695569145</v>
      </c>
      <c r="I158">
        <v>2.92E-2</v>
      </c>
      <c r="J158" s="1">
        <v>2161</v>
      </c>
      <c r="K158">
        <v>0.95820000000000005</v>
      </c>
      <c r="L158" s="1">
        <v>10005</v>
      </c>
      <c r="M158">
        <v>0.9577</v>
      </c>
      <c r="N158">
        <f t="shared" si="6"/>
        <v>-3743791</v>
      </c>
      <c r="O158">
        <f t="shared" si="7"/>
        <v>-1787318</v>
      </c>
      <c r="P158">
        <f t="shared" si="8"/>
        <v>-1956473</v>
      </c>
    </row>
    <row r="159" spans="1:16" x14ac:dyDescent="0.35">
      <c r="A159" t="s">
        <v>41</v>
      </c>
      <c r="B159">
        <v>4554</v>
      </c>
      <c r="C159">
        <v>1341500</v>
      </c>
      <c r="D159">
        <v>737500</v>
      </c>
      <c r="E159">
        <v>1947885</v>
      </c>
      <c r="F159">
        <v>2013426</v>
      </c>
      <c r="G159" s="5">
        <f>+C159/E159</f>
        <v>0.68869568788711855</v>
      </c>
      <c r="H159" s="5">
        <f>+D159/F159</f>
        <v>0.36629108792674775</v>
      </c>
      <c r="I159">
        <v>0.32240000000000002</v>
      </c>
      <c r="J159" s="1">
        <v>305601</v>
      </c>
      <c r="K159">
        <v>0.54979999999999996</v>
      </c>
      <c r="L159" s="1">
        <v>10336</v>
      </c>
      <c r="M159">
        <v>0.53190000000000004</v>
      </c>
      <c r="N159">
        <f t="shared" si="6"/>
        <v>-1882311</v>
      </c>
      <c r="O159">
        <f t="shared" si="7"/>
        <v>-606385</v>
      </c>
      <c r="P159">
        <f t="shared" si="8"/>
        <v>-1275926</v>
      </c>
    </row>
    <row r="160" spans="1:16" x14ac:dyDescent="0.35">
      <c r="A160" t="s">
        <v>34</v>
      </c>
      <c r="B160">
        <v>2534</v>
      </c>
      <c r="C160">
        <v>244000</v>
      </c>
      <c r="D160">
        <v>307500</v>
      </c>
      <c r="E160">
        <v>355432</v>
      </c>
      <c r="F160">
        <v>333025</v>
      </c>
      <c r="G160" s="5">
        <f>+C160/E160</f>
        <v>0.68648855477278359</v>
      </c>
      <c r="H160" s="5">
        <f>+D160/F160</f>
        <v>0.92335410254485395</v>
      </c>
      <c r="I160">
        <v>-0.2369</v>
      </c>
      <c r="J160" s="1">
        <v>-147136</v>
      </c>
      <c r="K160" s="1">
        <v>12602</v>
      </c>
      <c r="L160">
        <v>0.93700000000000006</v>
      </c>
      <c r="M160" s="1">
        <v>13449</v>
      </c>
      <c r="N160">
        <f t="shared" si="6"/>
        <v>-136957</v>
      </c>
      <c r="O160">
        <f t="shared" si="7"/>
        <v>-111432</v>
      </c>
      <c r="P160">
        <f t="shared" si="8"/>
        <v>-25525</v>
      </c>
    </row>
    <row r="161" spans="1:16" x14ac:dyDescent="0.35">
      <c r="A161" t="s">
        <v>32</v>
      </c>
      <c r="B161">
        <v>4554</v>
      </c>
      <c r="C161">
        <v>4051000</v>
      </c>
      <c r="D161">
        <v>4029000</v>
      </c>
      <c r="E161">
        <v>5975901</v>
      </c>
      <c r="F161">
        <v>5797744</v>
      </c>
      <c r="G161" s="5">
        <f>+C161/E161</f>
        <v>0.67788940947984244</v>
      </c>
      <c r="H161" s="5">
        <f>+D161/F161</f>
        <v>0.69492547446041075</v>
      </c>
      <c r="I161">
        <v>-1.7000000000000001E-2</v>
      </c>
      <c r="J161" s="1">
        <v>-1241</v>
      </c>
      <c r="K161">
        <v>0.99460000000000004</v>
      </c>
      <c r="L161">
        <v>0.97019999999999995</v>
      </c>
      <c r="M161" s="1">
        <v>10251</v>
      </c>
      <c r="N161">
        <f t="shared" si="6"/>
        <v>-3693645</v>
      </c>
      <c r="O161">
        <f t="shared" si="7"/>
        <v>-1924901</v>
      </c>
      <c r="P161">
        <f t="shared" si="8"/>
        <v>-1768744</v>
      </c>
    </row>
    <row r="162" spans="1:16" x14ac:dyDescent="0.35">
      <c r="A162" t="s">
        <v>53</v>
      </c>
      <c r="B162">
        <v>2534</v>
      </c>
      <c r="C162">
        <v>845000</v>
      </c>
      <c r="D162">
        <v>1187500</v>
      </c>
      <c r="E162">
        <v>1248008</v>
      </c>
      <c r="F162">
        <v>1217771</v>
      </c>
      <c r="G162" s="5">
        <f>+C162/E162</f>
        <v>0.67707899308337771</v>
      </c>
      <c r="H162" s="5">
        <f>+D162/F162</f>
        <v>0.97514228865689856</v>
      </c>
      <c r="I162">
        <v>-0.29809999999999998</v>
      </c>
      <c r="J162" s="1">
        <v>-180402</v>
      </c>
      <c r="K162" s="1">
        <v>14053</v>
      </c>
      <c r="L162">
        <v>0.9758</v>
      </c>
      <c r="M162" s="1">
        <v>14402</v>
      </c>
      <c r="N162">
        <f t="shared" si="6"/>
        <v>-433279</v>
      </c>
      <c r="O162">
        <f t="shared" si="7"/>
        <v>-403008</v>
      </c>
      <c r="P162">
        <f t="shared" si="8"/>
        <v>-30271</v>
      </c>
    </row>
    <row r="163" spans="1:16" x14ac:dyDescent="0.35">
      <c r="A163" t="s">
        <v>15</v>
      </c>
      <c r="B163">
        <v>3544</v>
      </c>
      <c r="C163">
        <v>2208500</v>
      </c>
      <c r="D163">
        <v>1840500</v>
      </c>
      <c r="E163">
        <v>3276307</v>
      </c>
      <c r="F163">
        <v>3196210</v>
      </c>
      <c r="G163" s="5">
        <f>+C163/E163</f>
        <v>0.67408212966611492</v>
      </c>
      <c r="H163" s="5">
        <f>+D163/F163</f>
        <v>0.57583825843733671</v>
      </c>
      <c r="I163">
        <v>9.8199999999999996E-2</v>
      </c>
      <c r="J163" s="2" t="s">
        <v>71</v>
      </c>
      <c r="K163">
        <v>0.83340000000000003</v>
      </c>
      <c r="L163">
        <v>0.97560000000000002</v>
      </c>
      <c r="M163">
        <v>0.85419999999999996</v>
      </c>
      <c r="N163">
        <f t="shared" si="6"/>
        <v>-2423517</v>
      </c>
      <c r="O163">
        <f t="shared" si="7"/>
        <v>-1067807</v>
      </c>
      <c r="P163">
        <f t="shared" si="8"/>
        <v>-1355710</v>
      </c>
    </row>
    <row r="164" spans="1:16" x14ac:dyDescent="0.35">
      <c r="A164" t="s">
        <v>23</v>
      </c>
      <c r="B164" t="s">
        <v>14</v>
      </c>
      <c r="C164">
        <v>7346000</v>
      </c>
      <c r="D164">
        <v>6379500</v>
      </c>
      <c r="E164">
        <v>10943391</v>
      </c>
      <c r="F164">
        <v>11994270</v>
      </c>
      <c r="G164" s="5">
        <f>+C164/E164</f>
        <v>0.6712727343837025</v>
      </c>
      <c r="H164" s="5">
        <f>+D164/F164</f>
        <v>0.53187897220922986</v>
      </c>
      <c r="I164">
        <v>0.1394</v>
      </c>
      <c r="J164" s="1">
        <v>115857</v>
      </c>
      <c r="K164">
        <v>0.86839999999999995</v>
      </c>
      <c r="L164" s="1">
        <v>1096</v>
      </c>
      <c r="M164">
        <v>0.7923</v>
      </c>
      <c r="N164">
        <f t="shared" si="6"/>
        <v>-9212161</v>
      </c>
      <c r="O164">
        <f t="shared" si="7"/>
        <v>-3597391</v>
      </c>
      <c r="P164">
        <f t="shared" si="8"/>
        <v>-5614770</v>
      </c>
    </row>
    <row r="165" spans="1:16" x14ac:dyDescent="0.35">
      <c r="A165" t="s">
        <v>17</v>
      </c>
      <c r="B165">
        <v>4554</v>
      </c>
      <c r="C165">
        <v>394000</v>
      </c>
      <c r="D165">
        <v>271500</v>
      </c>
      <c r="E165">
        <v>593989</v>
      </c>
      <c r="F165">
        <v>640511</v>
      </c>
      <c r="G165" s="5">
        <f>+C165/E165</f>
        <v>0.66331194685423467</v>
      </c>
      <c r="H165" s="5">
        <f>+D165/F165</f>
        <v>0.42388030806652816</v>
      </c>
      <c r="I165">
        <v>0.2394</v>
      </c>
      <c r="J165" s="1">
        <v>220229</v>
      </c>
      <c r="K165">
        <v>0.68910000000000005</v>
      </c>
      <c r="L165" s="1">
        <v>10783</v>
      </c>
      <c r="M165">
        <v>0.6391</v>
      </c>
      <c r="N165">
        <f t="shared" si="6"/>
        <v>-569000</v>
      </c>
      <c r="O165">
        <f t="shared" si="7"/>
        <v>-199989</v>
      </c>
      <c r="P165">
        <f t="shared" si="8"/>
        <v>-369011</v>
      </c>
    </row>
    <row r="166" spans="1:16" x14ac:dyDescent="0.35">
      <c r="A166" t="s">
        <v>16</v>
      </c>
      <c r="B166">
        <v>2534</v>
      </c>
      <c r="C166">
        <v>387500</v>
      </c>
      <c r="D166">
        <v>445000</v>
      </c>
      <c r="E166">
        <v>590235</v>
      </c>
      <c r="F166">
        <v>561590</v>
      </c>
      <c r="G166" s="5">
        <f>+C166/E166</f>
        <v>0.65651816649300698</v>
      </c>
      <c r="H166" s="5">
        <f>+D166/F166</f>
        <v>0.79239302694136293</v>
      </c>
      <c r="I166">
        <v>-0.13589999999999999</v>
      </c>
      <c r="J166" s="1">
        <v>-93777</v>
      </c>
      <c r="K166" s="1">
        <v>11484</v>
      </c>
      <c r="L166">
        <v>0.95150000000000001</v>
      </c>
      <c r="M166" s="1">
        <v>12069</v>
      </c>
      <c r="N166">
        <f t="shared" si="6"/>
        <v>-319325</v>
      </c>
      <c r="O166">
        <f t="shared" si="7"/>
        <v>-202735</v>
      </c>
      <c r="P166">
        <f t="shared" si="8"/>
        <v>-116590</v>
      </c>
    </row>
    <row r="167" spans="1:16" x14ac:dyDescent="0.35">
      <c r="A167" t="s">
        <v>54</v>
      </c>
      <c r="B167">
        <v>2534</v>
      </c>
      <c r="C167">
        <v>252500</v>
      </c>
      <c r="D167">
        <v>316000</v>
      </c>
      <c r="E167">
        <v>391992</v>
      </c>
      <c r="F167">
        <v>373099</v>
      </c>
      <c r="G167" s="5">
        <f>+C167/E167</f>
        <v>0.64414579889385493</v>
      </c>
      <c r="H167" s="5">
        <f>+D167/F167</f>
        <v>0.84696019019080726</v>
      </c>
      <c r="I167">
        <v>-0.20280000000000001</v>
      </c>
      <c r="J167" s="1">
        <v>-136016</v>
      </c>
      <c r="K167" s="1">
        <v>12515</v>
      </c>
      <c r="L167">
        <v>0.95179999999999998</v>
      </c>
      <c r="M167" s="1">
        <v>13149</v>
      </c>
      <c r="N167">
        <f t="shared" si="6"/>
        <v>-196591</v>
      </c>
      <c r="O167">
        <f t="shared" si="7"/>
        <v>-139492</v>
      </c>
      <c r="P167">
        <f t="shared" si="8"/>
        <v>-57099</v>
      </c>
    </row>
    <row r="168" spans="1:16" x14ac:dyDescent="0.35">
      <c r="A168" t="s">
        <v>25</v>
      </c>
      <c r="B168">
        <v>2534</v>
      </c>
      <c r="C168">
        <v>362500</v>
      </c>
      <c r="D168">
        <v>443000</v>
      </c>
      <c r="E168">
        <v>566308</v>
      </c>
      <c r="F168">
        <v>541350</v>
      </c>
      <c r="G168" s="5">
        <f>+C168/E168</f>
        <v>0.64011103498449606</v>
      </c>
      <c r="H168" s="5">
        <f>+D168/F168</f>
        <v>0.81832455897293799</v>
      </c>
      <c r="I168">
        <v>-0.1782</v>
      </c>
      <c r="J168" s="1">
        <v>-122195</v>
      </c>
      <c r="K168" s="1">
        <v>12221</v>
      </c>
      <c r="L168">
        <v>0.95589999999999997</v>
      </c>
      <c r="M168" s="1">
        <v>12785</v>
      </c>
      <c r="N168">
        <f t="shared" si="6"/>
        <v>-302158</v>
      </c>
      <c r="O168">
        <f t="shared" si="7"/>
        <v>-203808</v>
      </c>
      <c r="P168">
        <f t="shared" si="8"/>
        <v>-98350</v>
      </c>
    </row>
    <row r="169" spans="1:16" x14ac:dyDescent="0.35">
      <c r="A169" t="s">
        <v>52</v>
      </c>
      <c r="B169">
        <v>2024</v>
      </c>
      <c r="C169">
        <v>7410500</v>
      </c>
      <c r="D169">
        <v>5137000</v>
      </c>
      <c r="E169">
        <v>11610583</v>
      </c>
      <c r="F169">
        <v>11187791</v>
      </c>
      <c r="G169" s="5">
        <f>+C169/E169</f>
        <v>0.63825391024722877</v>
      </c>
      <c r="H169" s="5">
        <f>+D169/F169</f>
        <v>0.45916124103498179</v>
      </c>
      <c r="I169">
        <v>0.17910000000000001</v>
      </c>
      <c r="J169" s="1">
        <v>163195</v>
      </c>
      <c r="K169">
        <v>0.69320000000000004</v>
      </c>
      <c r="L169">
        <v>0.96360000000000001</v>
      </c>
      <c r="M169">
        <v>0.71940000000000004</v>
      </c>
      <c r="N169">
        <f t="shared" si="6"/>
        <v>-10250874</v>
      </c>
      <c r="O169">
        <f t="shared" si="7"/>
        <v>-4200083</v>
      </c>
      <c r="P169">
        <f t="shared" si="8"/>
        <v>-6050791</v>
      </c>
    </row>
    <row r="170" spans="1:16" x14ac:dyDescent="0.35">
      <c r="A170" t="s">
        <v>21</v>
      </c>
      <c r="B170" t="s">
        <v>14</v>
      </c>
      <c r="C170">
        <v>343000</v>
      </c>
      <c r="D170">
        <v>399500</v>
      </c>
      <c r="E170">
        <v>544392</v>
      </c>
      <c r="F170">
        <v>687448</v>
      </c>
      <c r="G170" s="5">
        <f>+C170/E170</f>
        <v>0.63006069156049316</v>
      </c>
      <c r="H170" s="5">
        <f>+D170/F170</f>
        <v>0.58113486401880576</v>
      </c>
      <c r="I170">
        <v>4.8899999999999999E-2</v>
      </c>
      <c r="J170" s="1">
        <v>40395</v>
      </c>
      <c r="K170" s="1">
        <v>11647</v>
      </c>
      <c r="L170" s="1">
        <v>12628</v>
      </c>
      <c r="M170">
        <v>0.92230000000000001</v>
      </c>
      <c r="N170">
        <f t="shared" si="6"/>
        <v>-489340</v>
      </c>
      <c r="O170">
        <f t="shared" si="7"/>
        <v>-201392</v>
      </c>
      <c r="P170">
        <f t="shared" si="8"/>
        <v>-287948</v>
      </c>
    </row>
    <row r="171" spans="1:16" x14ac:dyDescent="0.35">
      <c r="A171" t="s">
        <v>68</v>
      </c>
      <c r="B171" t="s">
        <v>14</v>
      </c>
      <c r="C171">
        <v>114000</v>
      </c>
      <c r="D171">
        <v>121000</v>
      </c>
      <c r="E171">
        <v>181681</v>
      </c>
      <c r="F171">
        <v>196211</v>
      </c>
      <c r="G171" s="5">
        <f>+C171/E171</f>
        <v>0.62747342870195566</v>
      </c>
      <c r="H171" s="5">
        <f>+D171/F171</f>
        <v>0.61668306058274003</v>
      </c>
      <c r="I171">
        <v>1.0800000000000001E-2</v>
      </c>
      <c r="J171">
        <v>0.86729999999999996</v>
      </c>
      <c r="K171" s="1">
        <v>10614</v>
      </c>
      <c r="L171" s="3" t="s">
        <v>78</v>
      </c>
      <c r="M171">
        <v>0.98280000000000001</v>
      </c>
      <c r="N171">
        <f t="shared" si="6"/>
        <v>-142892</v>
      </c>
      <c r="O171">
        <f t="shared" si="7"/>
        <v>-67681</v>
      </c>
      <c r="P171">
        <f t="shared" si="8"/>
        <v>-75211</v>
      </c>
    </row>
    <row r="172" spans="1:16" x14ac:dyDescent="0.35">
      <c r="A172" t="s">
        <v>63</v>
      </c>
      <c r="B172">
        <v>3544</v>
      </c>
      <c r="C172">
        <v>829500</v>
      </c>
      <c r="D172">
        <v>910500</v>
      </c>
      <c r="E172">
        <v>1328695</v>
      </c>
      <c r="F172">
        <v>1246591</v>
      </c>
      <c r="G172" s="5">
        <f>+C172/E172</f>
        <v>0.62429677239697601</v>
      </c>
      <c r="H172" s="5">
        <f>+D172/F172</f>
        <v>0.73039192485747129</v>
      </c>
      <c r="I172">
        <v>-0.1061</v>
      </c>
      <c r="J172" s="1">
        <v>-78317</v>
      </c>
      <c r="K172" s="1">
        <v>10976</v>
      </c>
      <c r="L172">
        <v>0.93820000000000003</v>
      </c>
      <c r="M172" s="1">
        <v>11699</v>
      </c>
      <c r="N172">
        <f t="shared" si="6"/>
        <v>-835286</v>
      </c>
      <c r="O172">
        <f t="shared" si="7"/>
        <v>-499195</v>
      </c>
      <c r="P172">
        <f t="shared" si="8"/>
        <v>-336091</v>
      </c>
    </row>
    <row r="173" spans="1:16" x14ac:dyDescent="0.35">
      <c r="A173" t="s">
        <v>50</v>
      </c>
      <c r="B173">
        <v>4554</v>
      </c>
      <c r="C173">
        <v>1396000</v>
      </c>
      <c r="D173">
        <v>1644000</v>
      </c>
      <c r="E173">
        <v>2253637</v>
      </c>
      <c r="F173">
        <v>2264311</v>
      </c>
      <c r="G173" s="5">
        <f>+C173/E173</f>
        <v>0.61944314900758202</v>
      </c>
      <c r="H173" s="5">
        <f>+D173/F173</f>
        <v>0.72604867440912491</v>
      </c>
      <c r="I173">
        <v>-0.1066</v>
      </c>
      <c r="J173" s="1">
        <v>-79232</v>
      </c>
      <c r="K173" s="1">
        <v>11777</v>
      </c>
      <c r="L173" s="1">
        <v>10047</v>
      </c>
      <c r="M173" s="1">
        <v>11722</v>
      </c>
      <c r="N173">
        <f t="shared" si="6"/>
        <v>-1477948</v>
      </c>
      <c r="O173">
        <f t="shared" si="7"/>
        <v>-857637</v>
      </c>
      <c r="P173">
        <f t="shared" si="8"/>
        <v>-620311</v>
      </c>
    </row>
    <row r="174" spans="1:16" x14ac:dyDescent="0.35">
      <c r="A174" t="s">
        <v>62</v>
      </c>
      <c r="B174">
        <v>4554</v>
      </c>
      <c r="C174">
        <v>178000</v>
      </c>
      <c r="D174">
        <v>104500</v>
      </c>
      <c r="E174">
        <v>288663</v>
      </c>
      <c r="F174">
        <v>86784</v>
      </c>
      <c r="G174" s="5">
        <f>+C174/E174</f>
        <v>0.61663600807862451</v>
      </c>
      <c r="H174" s="5">
        <f>+D174/F174</f>
        <v>1.20413901179941</v>
      </c>
      <c r="I174">
        <v>-0.58750000000000002</v>
      </c>
      <c r="J174" s="1">
        <v>-322666</v>
      </c>
      <c r="K174">
        <v>0.58709999999999996</v>
      </c>
      <c r="L174">
        <v>0.30059999999999998</v>
      </c>
      <c r="M174" s="1">
        <v>19531</v>
      </c>
      <c r="N174">
        <f t="shared" si="6"/>
        <v>-92947</v>
      </c>
      <c r="O174">
        <f t="shared" si="7"/>
        <v>-110663</v>
      </c>
      <c r="P174">
        <f t="shared" si="8"/>
        <v>17716</v>
      </c>
    </row>
    <row r="175" spans="1:16" x14ac:dyDescent="0.35">
      <c r="A175" t="s">
        <v>57</v>
      </c>
      <c r="B175" t="s">
        <v>14</v>
      </c>
      <c r="C175">
        <v>127500</v>
      </c>
      <c r="D175">
        <v>146500</v>
      </c>
      <c r="E175">
        <v>209046</v>
      </c>
      <c r="F175">
        <v>218697</v>
      </c>
      <c r="G175" s="5">
        <f>+C175/E175</f>
        <v>0.60991360753135671</v>
      </c>
      <c r="H175" s="5">
        <f>+D175/F175</f>
        <v>0.66987658724170884</v>
      </c>
      <c r="I175">
        <v>-0.06</v>
      </c>
      <c r="J175" s="1">
        <v>-46854</v>
      </c>
      <c r="K175" s="1">
        <v>1149</v>
      </c>
      <c r="L175" s="1">
        <v>10462</v>
      </c>
      <c r="M175" s="1">
        <v>10983</v>
      </c>
      <c r="N175">
        <f t="shared" si="6"/>
        <v>-153743</v>
      </c>
      <c r="O175">
        <f t="shared" si="7"/>
        <v>-81546</v>
      </c>
      <c r="P175">
        <f t="shared" si="8"/>
        <v>-72197</v>
      </c>
    </row>
    <row r="176" spans="1:16" x14ac:dyDescent="0.35">
      <c r="A176" t="s">
        <v>26</v>
      </c>
      <c r="B176">
        <v>4554</v>
      </c>
      <c r="C176">
        <v>189500</v>
      </c>
      <c r="D176">
        <v>173000</v>
      </c>
      <c r="E176">
        <v>311666</v>
      </c>
      <c r="F176">
        <v>331294</v>
      </c>
      <c r="G176" s="5">
        <f>+C176/E176</f>
        <v>0.60802269095762773</v>
      </c>
      <c r="H176" s="5">
        <f>+D176/F176</f>
        <v>0.52219478771121719</v>
      </c>
      <c r="I176">
        <v>8.5800000000000001E-2</v>
      </c>
      <c r="J176" s="1">
        <v>75939</v>
      </c>
      <c r="K176">
        <v>0.91290000000000004</v>
      </c>
      <c r="L176" s="1">
        <v>1063</v>
      </c>
      <c r="M176">
        <v>0.85880000000000001</v>
      </c>
      <c r="N176">
        <f t="shared" si="6"/>
        <v>-280460</v>
      </c>
      <c r="O176">
        <f t="shared" si="7"/>
        <v>-122166</v>
      </c>
      <c r="P176">
        <f t="shared" si="8"/>
        <v>-158294</v>
      </c>
    </row>
    <row r="177" spans="1:16" x14ac:dyDescent="0.35">
      <c r="A177" t="s">
        <v>69</v>
      </c>
      <c r="B177">
        <v>4554</v>
      </c>
      <c r="C177">
        <v>12608500</v>
      </c>
      <c r="D177">
        <v>9729000</v>
      </c>
      <c r="E177">
        <v>20871095</v>
      </c>
      <c r="F177">
        <v>20021867</v>
      </c>
      <c r="G177" s="5">
        <f>+C177/E177</f>
        <v>0.60411300892454378</v>
      </c>
      <c r="H177" s="5">
        <f>+D177/F177</f>
        <v>0.48591872076664977</v>
      </c>
      <c r="I177">
        <v>0.1182</v>
      </c>
      <c r="J177" s="1">
        <v>108432</v>
      </c>
      <c r="K177">
        <v>0.77159999999999995</v>
      </c>
      <c r="L177">
        <v>0.95930000000000004</v>
      </c>
      <c r="M177">
        <v>0.80430000000000001</v>
      </c>
      <c r="N177">
        <f t="shared" si="6"/>
        <v>-18555462</v>
      </c>
      <c r="O177">
        <f t="shared" si="7"/>
        <v>-8262595</v>
      </c>
      <c r="P177">
        <f t="shared" si="8"/>
        <v>-10292867</v>
      </c>
    </row>
    <row r="178" spans="1:16" x14ac:dyDescent="0.35">
      <c r="A178" t="s">
        <v>26</v>
      </c>
      <c r="B178" t="s">
        <v>14</v>
      </c>
      <c r="C178">
        <v>163500</v>
      </c>
      <c r="D178">
        <v>178000</v>
      </c>
      <c r="E178">
        <v>271371</v>
      </c>
      <c r="F178">
        <v>298188</v>
      </c>
      <c r="G178" s="5">
        <f>+C178/E178</f>
        <v>0.60249621367058381</v>
      </c>
      <c r="H178" s="5">
        <f>+D178/F178</f>
        <v>0.59693884395079611</v>
      </c>
      <c r="I178">
        <v>5.5999999999999999E-3</v>
      </c>
      <c r="J178">
        <v>0.46329999999999999</v>
      </c>
      <c r="K178" s="1">
        <v>10887</v>
      </c>
      <c r="L178" s="1">
        <v>10988</v>
      </c>
      <c r="M178">
        <v>0.99080000000000001</v>
      </c>
      <c r="N178">
        <f t="shared" si="6"/>
        <v>-228059</v>
      </c>
      <c r="O178">
        <f t="shared" si="7"/>
        <v>-107871</v>
      </c>
      <c r="P178">
        <f t="shared" si="8"/>
        <v>-120188</v>
      </c>
    </row>
    <row r="179" spans="1:16" x14ac:dyDescent="0.35">
      <c r="A179" t="s">
        <v>31</v>
      </c>
      <c r="B179">
        <v>3544</v>
      </c>
      <c r="C179">
        <v>2246000</v>
      </c>
      <c r="D179">
        <v>1133000</v>
      </c>
      <c r="E179">
        <v>3751934</v>
      </c>
      <c r="F179">
        <v>3549669</v>
      </c>
      <c r="G179" s="5">
        <f>+C179/E179</f>
        <v>0.59862460267158213</v>
      </c>
      <c r="H179" s="5">
        <f>+D179/F179</f>
        <v>0.31918469017815465</v>
      </c>
      <c r="I179">
        <v>0.27939999999999998</v>
      </c>
      <c r="J179" s="1">
        <v>304464</v>
      </c>
      <c r="K179">
        <v>0.50449999999999995</v>
      </c>
      <c r="L179">
        <v>0.94610000000000005</v>
      </c>
      <c r="M179">
        <v>0.53320000000000001</v>
      </c>
      <c r="N179">
        <f t="shared" si="6"/>
        <v>-3922603</v>
      </c>
      <c r="O179">
        <f t="shared" si="7"/>
        <v>-1505934</v>
      </c>
      <c r="P179">
        <f t="shared" si="8"/>
        <v>-2416669</v>
      </c>
    </row>
    <row r="180" spans="1:16" x14ac:dyDescent="0.35">
      <c r="A180" t="s">
        <v>22</v>
      </c>
      <c r="B180">
        <v>4554</v>
      </c>
      <c r="C180">
        <v>358000</v>
      </c>
      <c r="D180">
        <v>324000</v>
      </c>
      <c r="E180">
        <v>610544</v>
      </c>
      <c r="F180">
        <v>613046</v>
      </c>
      <c r="G180" s="5">
        <f>+C180/E180</f>
        <v>0.58636232605676253</v>
      </c>
      <c r="H180" s="5">
        <f>+D180/F180</f>
        <v>0.52850846429142351</v>
      </c>
      <c r="I180">
        <v>5.79E-2</v>
      </c>
      <c r="J180" s="1">
        <v>51893</v>
      </c>
      <c r="K180">
        <v>0.90500000000000003</v>
      </c>
      <c r="L180" s="1">
        <v>10041</v>
      </c>
      <c r="M180">
        <v>0.90129999999999999</v>
      </c>
      <c r="N180">
        <f t="shared" si="6"/>
        <v>-541590</v>
      </c>
      <c r="O180">
        <f t="shared" si="7"/>
        <v>-252544</v>
      </c>
      <c r="P180">
        <f t="shared" si="8"/>
        <v>-289046</v>
      </c>
    </row>
    <row r="181" spans="1:16" x14ac:dyDescent="0.35">
      <c r="A181" t="s">
        <v>68</v>
      </c>
      <c r="B181">
        <v>4554</v>
      </c>
      <c r="C181">
        <v>125000</v>
      </c>
      <c r="D181">
        <v>106500</v>
      </c>
      <c r="E181">
        <v>213867</v>
      </c>
      <c r="F181">
        <v>219312</v>
      </c>
      <c r="G181" s="5">
        <f>+C181/E181</f>
        <v>0.58447539826153638</v>
      </c>
      <c r="H181" s="5">
        <f>+D181/F181</f>
        <v>0.48560954256949002</v>
      </c>
      <c r="I181">
        <v>9.8900000000000002E-2</v>
      </c>
      <c r="J181" s="1">
        <v>92391</v>
      </c>
      <c r="K181">
        <v>0.85199999999999998</v>
      </c>
      <c r="L181" s="1">
        <v>10255</v>
      </c>
      <c r="M181">
        <v>0.83079999999999998</v>
      </c>
      <c r="N181">
        <f t="shared" si="6"/>
        <v>-201679</v>
      </c>
      <c r="O181">
        <f t="shared" si="7"/>
        <v>-88867</v>
      </c>
      <c r="P181">
        <f t="shared" si="8"/>
        <v>-112812</v>
      </c>
    </row>
    <row r="182" spans="1:16" x14ac:dyDescent="0.35">
      <c r="A182" t="s">
        <v>37</v>
      </c>
      <c r="B182">
        <v>3544</v>
      </c>
      <c r="C182">
        <v>366500</v>
      </c>
      <c r="D182">
        <v>455000</v>
      </c>
      <c r="E182">
        <v>628283</v>
      </c>
      <c r="F182">
        <v>627371</v>
      </c>
      <c r="G182" s="5">
        <f>+C182/E182</f>
        <v>0.58333585342910754</v>
      </c>
      <c r="H182" s="5">
        <f>+D182/F182</f>
        <v>0.72524869654478774</v>
      </c>
      <c r="I182">
        <v>-0.1419</v>
      </c>
      <c r="J182" s="1">
        <v>-108448</v>
      </c>
      <c r="K182" s="1">
        <v>12415</v>
      </c>
      <c r="L182">
        <v>0.99850000000000005</v>
      </c>
      <c r="M182" s="1">
        <v>12434</v>
      </c>
      <c r="N182">
        <f t="shared" si="6"/>
        <v>-434154</v>
      </c>
      <c r="O182">
        <f t="shared" si="7"/>
        <v>-261783</v>
      </c>
      <c r="P182">
        <f t="shared" si="8"/>
        <v>-172371</v>
      </c>
    </row>
    <row r="183" spans="1:16" x14ac:dyDescent="0.35">
      <c r="A183" t="s">
        <v>21</v>
      </c>
      <c r="B183">
        <v>4554</v>
      </c>
      <c r="C183">
        <v>352500</v>
      </c>
      <c r="D183">
        <v>303500</v>
      </c>
      <c r="E183">
        <v>604845</v>
      </c>
      <c r="F183">
        <v>663283</v>
      </c>
      <c r="G183" s="5">
        <f>+C183/E183</f>
        <v>0.58279393894303499</v>
      </c>
      <c r="H183" s="5">
        <f>+D183/F183</f>
        <v>0.45757240876066474</v>
      </c>
      <c r="I183">
        <v>0.12520000000000001</v>
      </c>
      <c r="J183" s="1">
        <v>120363</v>
      </c>
      <c r="K183">
        <v>0.86099999999999999</v>
      </c>
      <c r="L183" s="1">
        <v>10966</v>
      </c>
      <c r="M183">
        <v>0.78520000000000001</v>
      </c>
      <c r="N183">
        <f t="shared" si="6"/>
        <v>-612128</v>
      </c>
      <c r="O183">
        <f t="shared" si="7"/>
        <v>-252345</v>
      </c>
      <c r="P183">
        <f t="shared" si="8"/>
        <v>-359783</v>
      </c>
    </row>
    <row r="184" spans="1:16" x14ac:dyDescent="0.35">
      <c r="A184" t="s">
        <v>20</v>
      </c>
      <c r="B184" t="s">
        <v>14</v>
      </c>
      <c r="C184">
        <v>38500</v>
      </c>
      <c r="D184">
        <v>31500</v>
      </c>
      <c r="E184">
        <v>66067</v>
      </c>
      <c r="F184">
        <v>46240</v>
      </c>
      <c r="G184" s="5">
        <f>+C184/E184</f>
        <v>0.58274176215054418</v>
      </c>
      <c r="H184" s="5">
        <f>+D184/F184</f>
        <v>0.68122837370242217</v>
      </c>
      <c r="I184">
        <v>-9.8500000000000004E-2</v>
      </c>
      <c r="J184" s="1">
        <v>-77918</v>
      </c>
      <c r="K184">
        <v>0.81820000000000004</v>
      </c>
      <c r="L184">
        <v>0.69989999999999997</v>
      </c>
      <c r="M184" s="1">
        <v>1169</v>
      </c>
      <c r="N184">
        <f t="shared" si="6"/>
        <v>-42307</v>
      </c>
      <c r="O184">
        <f t="shared" si="7"/>
        <v>-27567</v>
      </c>
      <c r="P184">
        <f t="shared" si="8"/>
        <v>-14740</v>
      </c>
    </row>
    <row r="185" spans="1:16" x14ac:dyDescent="0.35">
      <c r="A185" t="s">
        <v>61</v>
      </c>
      <c r="B185" t="s">
        <v>14</v>
      </c>
      <c r="C185">
        <v>146500</v>
      </c>
      <c r="D185">
        <v>157000</v>
      </c>
      <c r="E185">
        <v>254983</v>
      </c>
      <c r="F185">
        <v>273861</v>
      </c>
      <c r="G185" s="5">
        <f>+C185/E185</f>
        <v>0.57454810712871052</v>
      </c>
      <c r="H185" s="5">
        <f>+D185/F185</f>
        <v>0.57328352704474173</v>
      </c>
      <c r="I185">
        <v>1.2999999999999999E-3</v>
      </c>
      <c r="J185">
        <v>0.11020000000000001</v>
      </c>
      <c r="K185" s="1">
        <v>10717</v>
      </c>
      <c r="L185" s="1">
        <v>1074</v>
      </c>
      <c r="M185">
        <v>0.99790000000000001</v>
      </c>
      <c r="N185">
        <f t="shared" si="6"/>
        <v>-225344</v>
      </c>
      <c r="O185">
        <f t="shared" si="7"/>
        <v>-108483</v>
      </c>
      <c r="P185">
        <f t="shared" si="8"/>
        <v>-116861</v>
      </c>
    </row>
    <row r="186" spans="1:16" x14ac:dyDescent="0.35">
      <c r="A186" t="s">
        <v>57</v>
      </c>
      <c r="B186">
        <v>4554</v>
      </c>
      <c r="C186">
        <v>150500</v>
      </c>
      <c r="D186">
        <v>137500</v>
      </c>
      <c r="E186">
        <v>267375</v>
      </c>
      <c r="F186">
        <v>269646</v>
      </c>
      <c r="G186" s="5">
        <f>+C186/E186</f>
        <v>0.56287985039738198</v>
      </c>
      <c r="H186" s="5">
        <f>+D186/F186</f>
        <v>0.50992783130474773</v>
      </c>
      <c r="I186">
        <v>5.2999999999999999E-2</v>
      </c>
      <c r="J186" s="1">
        <v>49358</v>
      </c>
      <c r="K186">
        <v>0.91359999999999997</v>
      </c>
      <c r="L186" s="1">
        <v>10085</v>
      </c>
      <c r="M186">
        <v>0.90590000000000004</v>
      </c>
      <c r="N186">
        <f t="shared" si="6"/>
        <v>-249021</v>
      </c>
      <c r="O186">
        <f t="shared" si="7"/>
        <v>-116875</v>
      </c>
      <c r="P186">
        <f t="shared" si="8"/>
        <v>-132146</v>
      </c>
    </row>
    <row r="187" spans="1:16" x14ac:dyDescent="0.35">
      <c r="A187" t="s">
        <v>30</v>
      </c>
      <c r="B187" t="s">
        <v>14</v>
      </c>
      <c r="C187">
        <v>264000</v>
      </c>
      <c r="D187">
        <v>240500</v>
      </c>
      <c r="E187">
        <v>470565</v>
      </c>
      <c r="F187">
        <v>514069</v>
      </c>
      <c r="G187" s="5">
        <f>+C187/E187</f>
        <v>0.56102770074272412</v>
      </c>
      <c r="H187" s="5">
        <f>+D187/F187</f>
        <v>0.46783602979366584</v>
      </c>
      <c r="I187">
        <v>9.3200000000000005E-2</v>
      </c>
      <c r="J187" s="1">
        <v>90577</v>
      </c>
      <c r="K187">
        <v>0.91100000000000003</v>
      </c>
      <c r="L187" s="1">
        <v>10925</v>
      </c>
      <c r="M187">
        <v>0.83389999999999997</v>
      </c>
      <c r="N187">
        <f t="shared" si="6"/>
        <v>-480134</v>
      </c>
      <c r="O187">
        <f t="shared" si="7"/>
        <v>-206565</v>
      </c>
      <c r="P187">
        <f t="shared" si="8"/>
        <v>-273569</v>
      </c>
    </row>
    <row r="188" spans="1:16" x14ac:dyDescent="0.35">
      <c r="A188" t="s">
        <v>61</v>
      </c>
      <c r="B188">
        <v>4554</v>
      </c>
      <c r="C188">
        <v>188000</v>
      </c>
      <c r="D188">
        <v>153000</v>
      </c>
      <c r="E188">
        <v>339861</v>
      </c>
      <c r="F188">
        <v>340377</v>
      </c>
      <c r="G188" s="5">
        <f>+C188/E188</f>
        <v>0.55316732428845905</v>
      </c>
      <c r="H188" s="5">
        <f>+D188/F188</f>
        <v>0.44950158206929375</v>
      </c>
      <c r="I188">
        <v>0.1037</v>
      </c>
      <c r="J188" s="1">
        <v>10339</v>
      </c>
      <c r="K188">
        <v>0.81379999999999997</v>
      </c>
      <c r="L188" s="1">
        <v>10015</v>
      </c>
      <c r="M188">
        <v>0.81259999999999999</v>
      </c>
      <c r="N188">
        <f t="shared" si="6"/>
        <v>-339238</v>
      </c>
      <c r="O188">
        <f t="shared" si="7"/>
        <v>-151861</v>
      </c>
      <c r="P188">
        <f t="shared" si="8"/>
        <v>-187377</v>
      </c>
    </row>
    <row r="189" spans="1:16" x14ac:dyDescent="0.35">
      <c r="A189" t="s">
        <v>23</v>
      </c>
      <c r="B189">
        <v>4554</v>
      </c>
      <c r="C189">
        <v>7628500</v>
      </c>
      <c r="D189">
        <v>5901000</v>
      </c>
      <c r="E189">
        <v>13925202</v>
      </c>
      <c r="F189">
        <v>14620117</v>
      </c>
      <c r="G189" s="5">
        <f>+C189/E189</f>
        <v>0.54781970128691848</v>
      </c>
      <c r="H189" s="5">
        <f>+D189/F189</f>
        <v>0.40362194091880388</v>
      </c>
      <c r="I189">
        <v>0.14419999999999999</v>
      </c>
      <c r="J189" s="1">
        <v>151557</v>
      </c>
      <c r="K189">
        <v>0.77349999999999997</v>
      </c>
      <c r="L189" s="1">
        <v>10499</v>
      </c>
      <c r="M189">
        <v>0.73670000000000002</v>
      </c>
      <c r="N189">
        <f t="shared" si="6"/>
        <v>-15015819</v>
      </c>
      <c r="O189">
        <f t="shared" si="7"/>
        <v>-6296702</v>
      </c>
      <c r="P189">
        <f t="shared" si="8"/>
        <v>-8719117</v>
      </c>
    </row>
    <row r="190" spans="1:16" x14ac:dyDescent="0.35">
      <c r="A190" t="s">
        <v>51</v>
      </c>
      <c r="B190">
        <v>4554</v>
      </c>
      <c r="C190">
        <v>3848000</v>
      </c>
      <c r="D190">
        <v>3477500</v>
      </c>
      <c r="E190">
        <v>7065494</v>
      </c>
      <c r="F190">
        <v>8389238</v>
      </c>
      <c r="G190" s="5">
        <f>+C190/E190</f>
        <v>0.54461867775982831</v>
      </c>
      <c r="H190" s="5">
        <f>+D190/F190</f>
        <v>0.41451917325506799</v>
      </c>
      <c r="I190">
        <v>0.13009999999999999</v>
      </c>
      <c r="J190" s="1">
        <v>135642</v>
      </c>
      <c r="K190">
        <v>0.90369999999999995</v>
      </c>
      <c r="L190" s="1">
        <v>11874</v>
      </c>
      <c r="M190">
        <v>0.7611</v>
      </c>
      <c r="N190">
        <f t="shared" si="6"/>
        <v>-8129232</v>
      </c>
      <c r="O190">
        <f t="shared" si="7"/>
        <v>-3217494</v>
      </c>
      <c r="P190">
        <f t="shared" si="8"/>
        <v>-4911738</v>
      </c>
    </row>
    <row r="191" spans="1:16" x14ac:dyDescent="0.35">
      <c r="A191" t="s">
        <v>29</v>
      </c>
      <c r="B191">
        <v>2534</v>
      </c>
      <c r="C191">
        <v>224000</v>
      </c>
      <c r="D191">
        <v>291500</v>
      </c>
      <c r="E191">
        <v>413938</v>
      </c>
      <c r="F191">
        <v>398620</v>
      </c>
      <c r="G191" s="5">
        <f>+C191/E191</f>
        <v>0.54114384279771366</v>
      </c>
      <c r="H191" s="5">
        <f>+D191/F191</f>
        <v>0.73127289147559082</v>
      </c>
      <c r="I191">
        <v>-0.19009999999999999</v>
      </c>
      <c r="J191" s="1">
        <v>-149424</v>
      </c>
      <c r="K191" s="1">
        <v>13013</v>
      </c>
      <c r="L191">
        <v>0.96299999999999997</v>
      </c>
      <c r="M191" s="1">
        <v>13513</v>
      </c>
      <c r="N191">
        <f t="shared" si="6"/>
        <v>-297058</v>
      </c>
      <c r="O191">
        <f t="shared" si="7"/>
        <v>-189938</v>
      </c>
      <c r="P191">
        <f t="shared" si="8"/>
        <v>-107120</v>
      </c>
    </row>
    <row r="192" spans="1:16" x14ac:dyDescent="0.35">
      <c r="A192" t="s">
        <v>51</v>
      </c>
      <c r="B192" t="s">
        <v>14</v>
      </c>
      <c r="C192">
        <v>2883000</v>
      </c>
      <c r="D192">
        <v>3001500</v>
      </c>
      <c r="E192">
        <v>5385968</v>
      </c>
      <c r="F192">
        <v>6382383</v>
      </c>
      <c r="G192" s="5">
        <f>+C192/E192</f>
        <v>0.53527982342264191</v>
      </c>
      <c r="H192" s="5">
        <f>+D192/F192</f>
        <v>0.47027889112890908</v>
      </c>
      <c r="I192">
        <v>6.5000000000000002E-2</v>
      </c>
      <c r="J192" s="1">
        <v>64642</v>
      </c>
      <c r="K192" s="1">
        <v>10411</v>
      </c>
      <c r="L192" s="1">
        <v>1185</v>
      </c>
      <c r="M192">
        <v>0.87860000000000005</v>
      </c>
      <c r="N192">
        <f t="shared" si="6"/>
        <v>-5883851</v>
      </c>
      <c r="O192">
        <f t="shared" si="7"/>
        <v>-2502968</v>
      </c>
      <c r="P192">
        <f t="shared" si="8"/>
        <v>-3380883</v>
      </c>
    </row>
    <row r="193" spans="1:16" x14ac:dyDescent="0.35">
      <c r="A193" t="s">
        <v>47</v>
      </c>
      <c r="B193">
        <v>4554</v>
      </c>
      <c r="C193">
        <v>290500</v>
      </c>
      <c r="D193">
        <v>220500</v>
      </c>
      <c r="E193">
        <v>542936</v>
      </c>
      <c r="F193">
        <v>287548</v>
      </c>
      <c r="G193" s="5">
        <f>+C193/E193</f>
        <v>0.53505385533469874</v>
      </c>
      <c r="H193" s="5">
        <f>+D193/F193</f>
        <v>0.76682849472088144</v>
      </c>
      <c r="I193">
        <v>-0.23180000000000001</v>
      </c>
      <c r="J193" s="1">
        <v>-17803</v>
      </c>
      <c r="K193">
        <v>0.75900000000000001</v>
      </c>
      <c r="L193">
        <v>0.52959999999999996</v>
      </c>
      <c r="M193" s="1">
        <v>14332</v>
      </c>
      <c r="N193">
        <f t="shared" si="6"/>
        <v>-319484</v>
      </c>
      <c r="O193">
        <f t="shared" si="7"/>
        <v>-252436</v>
      </c>
      <c r="P193">
        <f t="shared" si="8"/>
        <v>-67048</v>
      </c>
    </row>
    <row r="194" spans="1:16" x14ac:dyDescent="0.35">
      <c r="A194" t="s">
        <v>63</v>
      </c>
      <c r="B194" t="s">
        <v>14</v>
      </c>
      <c r="C194">
        <v>625500</v>
      </c>
      <c r="D194">
        <v>911500</v>
      </c>
      <c r="E194">
        <v>1190989</v>
      </c>
      <c r="F194">
        <v>1282126</v>
      </c>
      <c r="G194" s="5">
        <f>+C194/E194</f>
        <v>0.52519376753269764</v>
      </c>
      <c r="H194" s="5">
        <f>+D194/F194</f>
        <v>0.71092856708311036</v>
      </c>
      <c r="I194">
        <v>-0.1857</v>
      </c>
      <c r="J194" s="1">
        <v>-150256</v>
      </c>
      <c r="K194" s="1">
        <v>14572</v>
      </c>
      <c r="L194" s="1">
        <v>10765</v>
      </c>
      <c r="M194" s="1">
        <v>13536</v>
      </c>
      <c r="N194">
        <f t="shared" si="6"/>
        <v>-936115</v>
      </c>
      <c r="O194">
        <f t="shared" si="7"/>
        <v>-565489</v>
      </c>
      <c r="P194">
        <f t="shared" si="8"/>
        <v>-370626</v>
      </c>
    </row>
    <row r="195" spans="1:16" x14ac:dyDescent="0.35">
      <c r="A195" t="s">
        <v>20</v>
      </c>
      <c r="B195">
        <v>3544</v>
      </c>
      <c r="C195">
        <v>146000</v>
      </c>
      <c r="D195">
        <v>86500</v>
      </c>
      <c r="E195">
        <v>279596</v>
      </c>
      <c r="F195">
        <v>116529</v>
      </c>
      <c r="G195" s="5">
        <f>+C195/E195</f>
        <v>0.52218200546502813</v>
      </c>
      <c r="H195" s="5">
        <f>+D195/F195</f>
        <v>0.74230449072763005</v>
      </c>
      <c r="I195">
        <v>-0.22009999999999999</v>
      </c>
      <c r="J195" s="1">
        <v>-174081</v>
      </c>
      <c r="K195">
        <v>0.59250000000000003</v>
      </c>
      <c r="L195">
        <v>0.4168</v>
      </c>
      <c r="M195" s="1">
        <v>14215</v>
      </c>
      <c r="N195">
        <f t="shared" ref="N195:N258" si="9">+C195-E195+D195-F195</f>
        <v>-163625</v>
      </c>
      <c r="O195">
        <f t="shared" ref="O195:O258" si="10">+C195-E195</f>
        <v>-133596</v>
      </c>
      <c r="P195">
        <f t="shared" ref="P195:P258" si="11">+D195-F195</f>
        <v>-30029</v>
      </c>
    </row>
    <row r="196" spans="1:16" x14ac:dyDescent="0.35">
      <c r="A196" t="s">
        <v>27</v>
      </c>
      <c r="B196">
        <v>2534</v>
      </c>
      <c r="C196">
        <v>309500</v>
      </c>
      <c r="D196">
        <v>414000</v>
      </c>
      <c r="E196">
        <v>601844</v>
      </c>
      <c r="F196">
        <v>565834</v>
      </c>
      <c r="G196" s="5">
        <f>+C196/E196</f>
        <v>0.51425286286811867</v>
      </c>
      <c r="H196" s="5">
        <f>+D196/F196</f>
        <v>0.73166335002845362</v>
      </c>
      <c r="I196">
        <v>-0.21740000000000001</v>
      </c>
      <c r="J196" s="1">
        <v>-174498</v>
      </c>
      <c r="K196" s="1">
        <v>13376</v>
      </c>
      <c r="L196">
        <v>0.94020000000000004</v>
      </c>
      <c r="M196" s="1">
        <v>14227</v>
      </c>
      <c r="N196">
        <f t="shared" si="9"/>
        <v>-444178</v>
      </c>
      <c r="O196">
        <f t="shared" si="10"/>
        <v>-292344</v>
      </c>
      <c r="P196">
        <f t="shared" si="11"/>
        <v>-151834</v>
      </c>
    </row>
    <row r="197" spans="1:16" x14ac:dyDescent="0.35">
      <c r="A197" t="s">
        <v>38</v>
      </c>
      <c r="B197">
        <v>4554</v>
      </c>
      <c r="C197">
        <v>373000</v>
      </c>
      <c r="D197">
        <v>321500</v>
      </c>
      <c r="E197">
        <v>727927</v>
      </c>
      <c r="F197">
        <v>799820</v>
      </c>
      <c r="G197" s="5">
        <f>+C197/E197</f>
        <v>0.5124140195376734</v>
      </c>
      <c r="H197" s="5">
        <f>+D197/F197</f>
        <v>0.40196544222450054</v>
      </c>
      <c r="I197">
        <v>0.1104</v>
      </c>
      <c r="J197" s="1">
        <v>120791</v>
      </c>
      <c r="K197">
        <v>0.8619</v>
      </c>
      <c r="L197" s="1">
        <v>10988</v>
      </c>
      <c r="M197">
        <v>0.78439999999999999</v>
      </c>
      <c r="N197">
        <f t="shared" si="9"/>
        <v>-833247</v>
      </c>
      <c r="O197">
        <f t="shared" si="10"/>
        <v>-354927</v>
      </c>
      <c r="P197">
        <f t="shared" si="11"/>
        <v>-478320</v>
      </c>
    </row>
    <row r="198" spans="1:16" x14ac:dyDescent="0.35">
      <c r="A198" t="s">
        <v>15</v>
      </c>
      <c r="B198" t="s">
        <v>14</v>
      </c>
      <c r="C198">
        <v>1026000</v>
      </c>
      <c r="D198">
        <v>1086000</v>
      </c>
      <c r="E198">
        <v>2077631</v>
      </c>
      <c r="F198">
        <v>2179699</v>
      </c>
      <c r="G198" s="5">
        <f>+C198/E198</f>
        <v>0.49383167655854193</v>
      </c>
      <c r="H198" s="5">
        <f>+D198/F198</f>
        <v>0.49823393046471093</v>
      </c>
      <c r="I198">
        <v>-4.4000000000000003E-3</v>
      </c>
      <c r="J198">
        <v>-0.44369999999999998</v>
      </c>
      <c r="K198" s="1">
        <v>10585</v>
      </c>
      <c r="L198" s="1">
        <v>10491</v>
      </c>
      <c r="M198" s="1">
        <v>1009</v>
      </c>
      <c r="N198">
        <f t="shared" si="9"/>
        <v>-2145330</v>
      </c>
      <c r="O198">
        <f t="shared" si="10"/>
        <v>-1051631</v>
      </c>
      <c r="P198">
        <f t="shared" si="11"/>
        <v>-1093699</v>
      </c>
    </row>
    <row r="199" spans="1:16" x14ac:dyDescent="0.35">
      <c r="A199" t="s">
        <v>30</v>
      </c>
      <c r="B199">
        <v>4554</v>
      </c>
      <c r="C199">
        <v>306000</v>
      </c>
      <c r="D199">
        <v>237500</v>
      </c>
      <c r="E199">
        <v>622262</v>
      </c>
      <c r="F199">
        <v>641165</v>
      </c>
      <c r="G199" s="5">
        <f>+C199/E199</f>
        <v>0.49175427713728304</v>
      </c>
      <c r="H199" s="5">
        <f>+D199/F199</f>
        <v>0.37041947080704657</v>
      </c>
      <c r="I199">
        <v>0.12130000000000001</v>
      </c>
      <c r="J199" s="1">
        <v>140731</v>
      </c>
      <c r="K199">
        <v>0.77610000000000001</v>
      </c>
      <c r="L199" s="1">
        <v>10304</v>
      </c>
      <c r="M199">
        <v>0.75319999999999998</v>
      </c>
      <c r="N199">
        <f t="shared" si="9"/>
        <v>-719927</v>
      </c>
      <c r="O199">
        <f t="shared" si="10"/>
        <v>-316262</v>
      </c>
      <c r="P199">
        <f t="shared" si="11"/>
        <v>-403665</v>
      </c>
    </row>
    <row r="200" spans="1:16" x14ac:dyDescent="0.35">
      <c r="A200" t="s">
        <v>33</v>
      </c>
      <c r="B200">
        <v>3544</v>
      </c>
      <c r="C200">
        <v>1554000</v>
      </c>
      <c r="D200">
        <v>2381500</v>
      </c>
      <c r="E200">
        <v>3162322</v>
      </c>
      <c r="F200">
        <v>3133224</v>
      </c>
      <c r="G200" s="5">
        <f>+C200/E200</f>
        <v>0.49141105807694474</v>
      </c>
      <c r="H200" s="5">
        <f>+D200/F200</f>
        <v>0.76007971341978742</v>
      </c>
      <c r="I200">
        <v>-0.26869999999999999</v>
      </c>
      <c r="J200" s="1">
        <v>-214679</v>
      </c>
      <c r="K200" s="1">
        <v>15325</v>
      </c>
      <c r="L200">
        <v>0.99080000000000001</v>
      </c>
      <c r="M200" s="1">
        <v>15467</v>
      </c>
      <c r="N200">
        <f t="shared" si="9"/>
        <v>-2360046</v>
      </c>
      <c r="O200">
        <f t="shared" si="10"/>
        <v>-1608322</v>
      </c>
      <c r="P200">
        <f t="shared" si="11"/>
        <v>-751724</v>
      </c>
    </row>
    <row r="201" spans="1:16" x14ac:dyDescent="0.35">
      <c r="A201" t="s">
        <v>15</v>
      </c>
      <c r="B201">
        <v>4554</v>
      </c>
      <c r="C201">
        <v>1342000</v>
      </c>
      <c r="D201">
        <v>1186000</v>
      </c>
      <c r="E201">
        <v>2835394</v>
      </c>
      <c r="F201">
        <v>2825516</v>
      </c>
      <c r="G201" s="5">
        <f>+C201/E201</f>
        <v>0.47330282846052435</v>
      </c>
      <c r="H201" s="5">
        <f>+D201/F201</f>
        <v>0.41974634013751827</v>
      </c>
      <c r="I201">
        <v>5.3600000000000002E-2</v>
      </c>
      <c r="J201" s="1">
        <v>5997</v>
      </c>
      <c r="K201">
        <v>0.88380000000000003</v>
      </c>
      <c r="L201">
        <v>0.99650000000000005</v>
      </c>
      <c r="M201">
        <v>0.88690000000000002</v>
      </c>
      <c r="N201">
        <f t="shared" si="9"/>
        <v>-3132910</v>
      </c>
      <c r="O201">
        <f t="shared" si="10"/>
        <v>-1493394</v>
      </c>
      <c r="P201">
        <f t="shared" si="11"/>
        <v>-1639516</v>
      </c>
    </row>
    <row r="202" spans="1:16" x14ac:dyDescent="0.35">
      <c r="A202" t="s">
        <v>60</v>
      </c>
      <c r="B202">
        <v>3544</v>
      </c>
      <c r="C202">
        <v>292500</v>
      </c>
      <c r="D202">
        <v>418000</v>
      </c>
      <c r="E202">
        <v>619293</v>
      </c>
      <c r="F202">
        <v>645261</v>
      </c>
      <c r="G202" s="5">
        <f>+C202/E202</f>
        <v>0.47231278247937569</v>
      </c>
      <c r="H202" s="5">
        <f>+D202/F202</f>
        <v>0.64779988252815524</v>
      </c>
      <c r="I202">
        <v>-0.17549999999999999</v>
      </c>
      <c r="J202" s="1">
        <v>-156669</v>
      </c>
      <c r="K202" s="1">
        <v>14291</v>
      </c>
      <c r="L202" s="1">
        <v>10419</v>
      </c>
      <c r="M202" s="1">
        <v>13716</v>
      </c>
      <c r="N202">
        <f t="shared" si="9"/>
        <v>-554054</v>
      </c>
      <c r="O202">
        <f t="shared" si="10"/>
        <v>-326793</v>
      </c>
      <c r="P202">
        <f t="shared" si="11"/>
        <v>-227261</v>
      </c>
    </row>
    <row r="203" spans="1:16" x14ac:dyDescent="0.35">
      <c r="A203" t="s">
        <v>35</v>
      </c>
      <c r="B203">
        <v>3544</v>
      </c>
      <c r="C203">
        <v>1897500</v>
      </c>
      <c r="D203">
        <v>2414000</v>
      </c>
      <c r="E203">
        <v>4026014</v>
      </c>
      <c r="F203">
        <v>4204429</v>
      </c>
      <c r="G203" s="5">
        <f>+C203/E203</f>
        <v>0.47130983647846231</v>
      </c>
      <c r="H203" s="5">
        <f>+D203/F203</f>
        <v>0.5741564431222409</v>
      </c>
      <c r="I203">
        <v>-0.1028</v>
      </c>
      <c r="J203" s="1">
        <v>-98374</v>
      </c>
      <c r="K203" s="1">
        <v>12722</v>
      </c>
      <c r="L203" s="1">
        <v>10443</v>
      </c>
      <c r="M203" s="1">
        <v>12182</v>
      </c>
      <c r="N203">
        <f t="shared" si="9"/>
        <v>-3918943</v>
      </c>
      <c r="O203">
        <f t="shared" si="10"/>
        <v>-2128514</v>
      </c>
      <c r="P203">
        <f t="shared" si="11"/>
        <v>-1790429</v>
      </c>
    </row>
    <row r="204" spans="1:16" x14ac:dyDescent="0.35">
      <c r="A204" t="s">
        <v>40</v>
      </c>
      <c r="B204">
        <v>3544</v>
      </c>
      <c r="C204">
        <v>167500</v>
      </c>
      <c r="D204">
        <v>253000</v>
      </c>
      <c r="E204">
        <v>363455</v>
      </c>
      <c r="F204">
        <v>388299</v>
      </c>
      <c r="G204" s="5">
        <f>+C204/E204</f>
        <v>0.46085485135711435</v>
      </c>
      <c r="H204" s="5">
        <f>+D204/F204</f>
        <v>0.65155975163469393</v>
      </c>
      <c r="I204">
        <v>-0.19070000000000001</v>
      </c>
      <c r="J204" s="1">
        <v>-171433</v>
      </c>
      <c r="K204" s="1">
        <v>15104</v>
      </c>
      <c r="L204" s="1">
        <v>10684</v>
      </c>
      <c r="M204" s="1">
        <v>14137</v>
      </c>
      <c r="N204">
        <f t="shared" si="9"/>
        <v>-331254</v>
      </c>
      <c r="O204">
        <f t="shared" si="10"/>
        <v>-195955</v>
      </c>
      <c r="P204">
        <f t="shared" si="11"/>
        <v>-135299</v>
      </c>
    </row>
    <row r="205" spans="1:16" x14ac:dyDescent="0.35">
      <c r="A205" t="s">
        <v>45</v>
      </c>
      <c r="B205">
        <v>3544</v>
      </c>
      <c r="C205">
        <v>1550500</v>
      </c>
      <c r="D205">
        <v>820500</v>
      </c>
      <c r="E205">
        <v>3385955</v>
      </c>
      <c r="F205">
        <v>3330779</v>
      </c>
      <c r="G205" s="5">
        <f>+C205/E205</f>
        <v>0.45792102966519049</v>
      </c>
      <c r="H205" s="5">
        <f>+D205/F205</f>
        <v>0.24633876939899044</v>
      </c>
      <c r="I205">
        <v>0.21160000000000001</v>
      </c>
      <c r="J205" s="1">
        <v>300432</v>
      </c>
      <c r="K205">
        <v>0.5292</v>
      </c>
      <c r="L205">
        <v>0.98370000000000002</v>
      </c>
      <c r="M205">
        <v>0.53800000000000003</v>
      </c>
      <c r="N205">
        <f t="shared" si="9"/>
        <v>-4345734</v>
      </c>
      <c r="O205">
        <f t="shared" si="10"/>
        <v>-1835455</v>
      </c>
      <c r="P205">
        <f t="shared" si="11"/>
        <v>-2510279</v>
      </c>
    </row>
    <row r="206" spans="1:16" x14ac:dyDescent="0.35">
      <c r="A206" t="s">
        <v>63</v>
      </c>
      <c r="B206">
        <v>4554</v>
      </c>
      <c r="C206">
        <v>677000</v>
      </c>
      <c r="D206">
        <v>804000</v>
      </c>
      <c r="E206">
        <v>1487382</v>
      </c>
      <c r="F206">
        <v>1448788</v>
      </c>
      <c r="G206" s="5">
        <f>+C206/E206</f>
        <v>0.45516215740139387</v>
      </c>
      <c r="H206" s="5">
        <f>+D206/F206</f>
        <v>0.55494661744851559</v>
      </c>
      <c r="I206">
        <v>-9.98E-2</v>
      </c>
      <c r="J206" s="1">
        <v>-98786</v>
      </c>
      <c r="K206" s="1">
        <v>11876</v>
      </c>
      <c r="L206">
        <v>0.97409999999999997</v>
      </c>
      <c r="M206" s="1">
        <v>12192</v>
      </c>
      <c r="N206">
        <f t="shared" si="9"/>
        <v>-1455170</v>
      </c>
      <c r="O206">
        <f t="shared" si="10"/>
        <v>-810382</v>
      </c>
      <c r="P206">
        <f t="shared" si="11"/>
        <v>-644788</v>
      </c>
    </row>
    <row r="207" spans="1:16" x14ac:dyDescent="0.35">
      <c r="A207" t="s">
        <v>36</v>
      </c>
      <c r="B207">
        <v>3544</v>
      </c>
      <c r="C207">
        <v>2045000</v>
      </c>
      <c r="D207">
        <v>3314000</v>
      </c>
      <c r="E207">
        <v>4514570</v>
      </c>
      <c r="F207">
        <v>4593123</v>
      </c>
      <c r="G207" s="5">
        <f>+C207/E207</f>
        <v>0.4529778029801288</v>
      </c>
      <c r="H207" s="5">
        <f>+D207/F207</f>
        <v>0.72151344520928351</v>
      </c>
      <c r="I207">
        <v>-0.26850000000000002</v>
      </c>
      <c r="J207" s="1">
        <v>-22864</v>
      </c>
      <c r="K207" s="1">
        <v>16205</v>
      </c>
      <c r="L207" s="1">
        <v>10174</v>
      </c>
      <c r="M207" s="1">
        <v>15928</v>
      </c>
      <c r="N207">
        <f t="shared" si="9"/>
        <v>-3748693</v>
      </c>
      <c r="O207">
        <f t="shared" si="10"/>
        <v>-2469570</v>
      </c>
      <c r="P207">
        <f t="shared" si="11"/>
        <v>-1279123</v>
      </c>
    </row>
    <row r="208" spans="1:16" x14ac:dyDescent="0.35">
      <c r="A208" t="s">
        <v>42</v>
      </c>
      <c r="B208">
        <v>3544</v>
      </c>
      <c r="C208">
        <v>1564000</v>
      </c>
      <c r="D208">
        <v>2003000</v>
      </c>
      <c r="E208">
        <v>3461335</v>
      </c>
      <c r="F208">
        <v>3405962</v>
      </c>
      <c r="G208" s="5">
        <f>+C208/E208</f>
        <v>0.45184878088945452</v>
      </c>
      <c r="H208" s="5">
        <f>+D208/F208</f>
        <v>0.5880864202243008</v>
      </c>
      <c r="I208">
        <v>-0.13619999999999999</v>
      </c>
      <c r="J208" s="1">
        <v>-131006</v>
      </c>
      <c r="K208" s="1">
        <v>12807</v>
      </c>
      <c r="L208">
        <v>0.98399999999999999</v>
      </c>
      <c r="M208" s="1">
        <v>13015</v>
      </c>
      <c r="N208">
        <f t="shared" si="9"/>
        <v>-3300297</v>
      </c>
      <c r="O208">
        <f t="shared" si="10"/>
        <v>-1897335</v>
      </c>
      <c r="P208">
        <f t="shared" si="11"/>
        <v>-1402962</v>
      </c>
    </row>
    <row r="209" spans="1:16" x14ac:dyDescent="0.35">
      <c r="A209" t="s">
        <v>24</v>
      </c>
      <c r="B209">
        <v>3544</v>
      </c>
      <c r="C209">
        <v>1264000</v>
      </c>
      <c r="D209">
        <v>1105000</v>
      </c>
      <c r="E209">
        <v>2850448</v>
      </c>
      <c r="F209">
        <v>2810293</v>
      </c>
      <c r="G209" s="5">
        <f>+C209/E209</f>
        <v>0.44343906642043635</v>
      </c>
      <c r="H209" s="5">
        <f>+D209/F209</f>
        <v>0.39319743528521761</v>
      </c>
      <c r="I209">
        <v>5.0200000000000002E-2</v>
      </c>
      <c r="J209" s="1">
        <v>60052</v>
      </c>
      <c r="K209">
        <v>0.87419999999999998</v>
      </c>
      <c r="L209">
        <v>0.9859</v>
      </c>
      <c r="M209">
        <v>0.88670000000000004</v>
      </c>
      <c r="N209">
        <f t="shared" si="9"/>
        <v>-3291741</v>
      </c>
      <c r="O209">
        <f t="shared" si="10"/>
        <v>-1586448</v>
      </c>
      <c r="P209">
        <f t="shared" si="11"/>
        <v>-1705293</v>
      </c>
    </row>
    <row r="210" spans="1:16" x14ac:dyDescent="0.35">
      <c r="A210" t="s">
        <v>37</v>
      </c>
      <c r="B210" t="s">
        <v>14</v>
      </c>
      <c r="C210">
        <v>290500</v>
      </c>
      <c r="D210">
        <v>424000</v>
      </c>
      <c r="E210">
        <v>696290</v>
      </c>
      <c r="F210">
        <v>780361</v>
      </c>
      <c r="G210" s="5">
        <f>+C210/E210</f>
        <v>0.4172112194631547</v>
      </c>
      <c r="H210" s="5">
        <f>+D210/F210</f>
        <v>0.54333827549044611</v>
      </c>
      <c r="I210">
        <v>-0.12609999999999999</v>
      </c>
      <c r="J210" s="1">
        <v>-131307</v>
      </c>
      <c r="K210" s="1">
        <v>14596</v>
      </c>
      <c r="L210" s="1">
        <v>11207</v>
      </c>
      <c r="M210" s="1">
        <v>13024</v>
      </c>
      <c r="N210">
        <f t="shared" si="9"/>
        <v>-762151</v>
      </c>
      <c r="O210">
        <f t="shared" si="10"/>
        <v>-405790</v>
      </c>
      <c r="P210">
        <f t="shared" si="11"/>
        <v>-356361</v>
      </c>
    </row>
    <row r="211" spans="1:16" x14ac:dyDescent="0.35">
      <c r="A211" t="s">
        <v>20</v>
      </c>
      <c r="B211">
        <v>4554</v>
      </c>
      <c r="C211">
        <v>60500</v>
      </c>
      <c r="D211">
        <v>41500</v>
      </c>
      <c r="E211">
        <v>146449</v>
      </c>
      <c r="F211">
        <v>75399</v>
      </c>
      <c r="G211" s="5">
        <f>+C211/E211</f>
        <v>0.41311309739226626</v>
      </c>
      <c r="H211" s="5">
        <f>+D211/F211</f>
        <v>0.55040517778750386</v>
      </c>
      <c r="I211">
        <v>-0.13730000000000001</v>
      </c>
      <c r="J211" s="1">
        <v>-14249</v>
      </c>
      <c r="K211">
        <v>0.68600000000000005</v>
      </c>
      <c r="L211">
        <v>0.51480000000000004</v>
      </c>
      <c r="M211" s="1">
        <v>13326</v>
      </c>
      <c r="N211">
        <f t="shared" si="9"/>
        <v>-119848</v>
      </c>
      <c r="O211">
        <f t="shared" si="10"/>
        <v>-85949</v>
      </c>
      <c r="P211">
        <f t="shared" si="11"/>
        <v>-33899</v>
      </c>
    </row>
    <row r="212" spans="1:16" x14ac:dyDescent="0.35">
      <c r="A212" t="s">
        <v>39</v>
      </c>
      <c r="B212">
        <v>3544</v>
      </c>
      <c r="C212">
        <v>264000</v>
      </c>
      <c r="D212">
        <v>314000</v>
      </c>
      <c r="E212">
        <v>641074</v>
      </c>
      <c r="F212">
        <v>610664</v>
      </c>
      <c r="G212" s="5">
        <f>+C212/E212</f>
        <v>0.41180893313408434</v>
      </c>
      <c r="H212" s="5">
        <f>+D212/F212</f>
        <v>0.51419438512831939</v>
      </c>
      <c r="I212">
        <v>-0.1024</v>
      </c>
      <c r="J212" s="1">
        <v>-110567</v>
      </c>
      <c r="K212" s="1">
        <v>11894</v>
      </c>
      <c r="L212">
        <v>0.9526</v>
      </c>
      <c r="M212" s="1">
        <v>12486</v>
      </c>
      <c r="N212">
        <f t="shared" si="9"/>
        <v>-673738</v>
      </c>
      <c r="O212">
        <f t="shared" si="10"/>
        <v>-377074</v>
      </c>
      <c r="P212">
        <f t="shared" si="11"/>
        <v>-296664</v>
      </c>
    </row>
    <row r="213" spans="1:16" x14ac:dyDescent="0.35">
      <c r="A213" t="s">
        <v>37</v>
      </c>
      <c r="B213">
        <v>4554</v>
      </c>
      <c r="C213">
        <v>316000</v>
      </c>
      <c r="D213">
        <v>409500</v>
      </c>
      <c r="E213">
        <v>768642</v>
      </c>
      <c r="F213">
        <v>794509</v>
      </c>
      <c r="G213" s="5">
        <f>+C213/E213</f>
        <v>0.41111466716624906</v>
      </c>
      <c r="H213" s="5">
        <f>+D213/F213</f>
        <v>0.51541266367026684</v>
      </c>
      <c r="I213">
        <v>-0.1043</v>
      </c>
      <c r="J213" s="1">
        <v>-112569</v>
      </c>
      <c r="K213" s="1">
        <v>12959</v>
      </c>
      <c r="L213" s="1">
        <v>10337</v>
      </c>
      <c r="M213" s="1">
        <v>12537</v>
      </c>
      <c r="N213">
        <f t="shared" si="9"/>
        <v>-837651</v>
      </c>
      <c r="O213">
        <f t="shared" si="10"/>
        <v>-452642</v>
      </c>
      <c r="P213">
        <f t="shared" si="11"/>
        <v>-385009</v>
      </c>
    </row>
    <row r="214" spans="1:16" x14ac:dyDescent="0.35">
      <c r="A214" t="s">
        <v>18</v>
      </c>
      <c r="B214">
        <v>3544</v>
      </c>
      <c r="C214">
        <v>307500</v>
      </c>
      <c r="D214">
        <v>386000</v>
      </c>
      <c r="E214">
        <v>765320</v>
      </c>
      <c r="F214">
        <v>768467</v>
      </c>
      <c r="G214" s="5">
        <f>+C214/E214</f>
        <v>0.40179271415878326</v>
      </c>
      <c r="H214" s="5">
        <f>+D214/F214</f>
        <v>0.50229873241141132</v>
      </c>
      <c r="I214">
        <v>-0.10050000000000001</v>
      </c>
      <c r="J214" s="1">
        <v>-111168</v>
      </c>
      <c r="K214" s="1">
        <v>12553</v>
      </c>
      <c r="L214" s="1">
        <v>10041</v>
      </c>
      <c r="M214" s="1">
        <v>12502</v>
      </c>
      <c r="N214">
        <f t="shared" si="9"/>
        <v>-840287</v>
      </c>
      <c r="O214">
        <f t="shared" si="10"/>
        <v>-457820</v>
      </c>
      <c r="P214">
        <f t="shared" si="11"/>
        <v>-382467</v>
      </c>
    </row>
    <row r="215" spans="1:16" x14ac:dyDescent="0.35">
      <c r="A215" t="s">
        <v>56</v>
      </c>
      <c r="B215">
        <v>3544</v>
      </c>
      <c r="C215">
        <v>5797000</v>
      </c>
      <c r="D215">
        <v>2273000</v>
      </c>
      <c r="E215">
        <v>14642574</v>
      </c>
      <c r="F215">
        <v>14248505</v>
      </c>
      <c r="G215" s="5">
        <f>+C215/E215</f>
        <v>0.39590033828751692</v>
      </c>
      <c r="H215" s="5">
        <f>+D215/F215</f>
        <v>0.15952550811471097</v>
      </c>
      <c r="I215">
        <v>0.2364</v>
      </c>
      <c r="J215" s="1">
        <v>425574</v>
      </c>
      <c r="K215">
        <v>0.3921</v>
      </c>
      <c r="L215">
        <v>0.97309999999999997</v>
      </c>
      <c r="M215">
        <v>0.40289999999999998</v>
      </c>
      <c r="N215">
        <f t="shared" si="9"/>
        <v>-20821079</v>
      </c>
      <c r="O215">
        <f t="shared" si="10"/>
        <v>-8845574</v>
      </c>
      <c r="P215">
        <f t="shared" si="11"/>
        <v>-11975505</v>
      </c>
    </row>
    <row r="216" spans="1:16" x14ac:dyDescent="0.35">
      <c r="A216" t="s">
        <v>42</v>
      </c>
      <c r="B216" t="s">
        <v>14</v>
      </c>
      <c r="C216">
        <v>1723500</v>
      </c>
      <c r="D216">
        <v>2472500</v>
      </c>
      <c r="E216">
        <v>4509966</v>
      </c>
      <c r="F216">
        <v>4720643</v>
      </c>
      <c r="G216" s="5">
        <f>+C216/E216</f>
        <v>0.38215365703422155</v>
      </c>
      <c r="H216" s="5">
        <f>+D216/F216</f>
        <v>0.52376339409694828</v>
      </c>
      <c r="I216">
        <v>-0.1416</v>
      </c>
      <c r="J216" s="1">
        <v>-156316</v>
      </c>
      <c r="K216" s="1">
        <v>14346</v>
      </c>
      <c r="L216" s="1">
        <v>10467</v>
      </c>
      <c r="M216" s="1">
        <v>13706</v>
      </c>
      <c r="N216">
        <f t="shared" si="9"/>
        <v>-5034609</v>
      </c>
      <c r="O216">
        <f t="shared" si="10"/>
        <v>-2786466</v>
      </c>
      <c r="P216">
        <f t="shared" si="11"/>
        <v>-2248143</v>
      </c>
    </row>
    <row r="217" spans="1:16" x14ac:dyDescent="0.35">
      <c r="A217" t="s">
        <v>52</v>
      </c>
      <c r="B217">
        <v>3544</v>
      </c>
      <c r="C217">
        <v>4668000</v>
      </c>
      <c r="D217">
        <v>2079000</v>
      </c>
      <c r="E217">
        <v>12236486</v>
      </c>
      <c r="F217">
        <v>11920962</v>
      </c>
      <c r="G217" s="5">
        <f>+C217/E217</f>
        <v>0.38148206928034734</v>
      </c>
      <c r="H217" s="5">
        <f>+D217/F217</f>
        <v>0.17439867688530505</v>
      </c>
      <c r="I217">
        <v>0.20710000000000001</v>
      </c>
      <c r="J217" s="1">
        <v>372532</v>
      </c>
      <c r="K217">
        <v>0.44540000000000002</v>
      </c>
      <c r="L217">
        <v>0.97419999999999995</v>
      </c>
      <c r="M217">
        <v>0.4572</v>
      </c>
      <c r="N217">
        <f t="shared" si="9"/>
        <v>-17410448</v>
      </c>
      <c r="O217">
        <f t="shared" si="10"/>
        <v>-7568486</v>
      </c>
      <c r="P217">
        <f t="shared" si="11"/>
        <v>-9841962</v>
      </c>
    </row>
    <row r="218" spans="1:16" x14ac:dyDescent="0.35">
      <c r="A218" t="s">
        <v>33</v>
      </c>
      <c r="B218">
        <v>4554</v>
      </c>
      <c r="C218">
        <v>1496000</v>
      </c>
      <c r="D218">
        <v>2445000</v>
      </c>
      <c r="E218">
        <v>4020627</v>
      </c>
      <c r="F218">
        <v>3927757</v>
      </c>
      <c r="G218" s="5">
        <f>+C218/E218</f>
        <v>0.37208126991138446</v>
      </c>
      <c r="H218" s="5">
        <f>+D218/F218</f>
        <v>0.62249268475621078</v>
      </c>
      <c r="I218">
        <v>-0.25040000000000001</v>
      </c>
      <c r="J218" s="1">
        <v>-251778</v>
      </c>
      <c r="K218" s="1">
        <v>16344</v>
      </c>
      <c r="L218">
        <v>0.97689999999999999</v>
      </c>
      <c r="M218" s="1">
        <v>1673</v>
      </c>
      <c r="N218">
        <f t="shared" si="9"/>
        <v>-4007384</v>
      </c>
      <c r="O218">
        <f t="shared" si="10"/>
        <v>-2524627</v>
      </c>
      <c r="P218">
        <f t="shared" si="11"/>
        <v>-1482757</v>
      </c>
    </row>
    <row r="219" spans="1:16" x14ac:dyDescent="0.35">
      <c r="A219" t="s">
        <v>59</v>
      </c>
      <c r="B219">
        <v>2534</v>
      </c>
      <c r="C219">
        <v>72500</v>
      </c>
      <c r="D219">
        <v>50500</v>
      </c>
      <c r="E219">
        <v>197653</v>
      </c>
      <c r="F219">
        <v>204409</v>
      </c>
      <c r="G219" s="5">
        <f>+C219/E219</f>
        <v>0.36680445022337127</v>
      </c>
      <c r="H219" s="5">
        <f>+D219/F219</f>
        <v>0.24705370115797248</v>
      </c>
      <c r="I219">
        <v>0.1198</v>
      </c>
      <c r="J219" s="1">
        <v>195079</v>
      </c>
      <c r="K219">
        <v>0.6966</v>
      </c>
      <c r="L219" s="1">
        <v>10342</v>
      </c>
      <c r="M219">
        <v>0.67359999999999998</v>
      </c>
      <c r="N219">
        <f t="shared" si="9"/>
        <v>-279062</v>
      </c>
      <c r="O219">
        <f t="shared" si="10"/>
        <v>-125153</v>
      </c>
      <c r="P219">
        <f t="shared" si="11"/>
        <v>-153909</v>
      </c>
    </row>
    <row r="220" spans="1:16" x14ac:dyDescent="0.35">
      <c r="A220" t="s">
        <v>40</v>
      </c>
      <c r="B220">
        <v>4554</v>
      </c>
      <c r="C220">
        <v>141500</v>
      </c>
      <c r="D220">
        <v>213000</v>
      </c>
      <c r="E220">
        <v>388711</v>
      </c>
      <c r="F220">
        <v>400950</v>
      </c>
      <c r="G220" s="5">
        <f>+C220/E220</f>
        <v>0.36402365767884109</v>
      </c>
      <c r="H220" s="5">
        <f>+D220/F220</f>
        <v>0.53123830901608682</v>
      </c>
      <c r="I220">
        <v>-0.16719999999999999</v>
      </c>
      <c r="J220" s="1">
        <v>-186777</v>
      </c>
      <c r="K220" s="1">
        <v>15053</v>
      </c>
      <c r="L220" s="1">
        <v>10315</v>
      </c>
      <c r="M220" s="1">
        <v>14593</v>
      </c>
      <c r="N220">
        <f t="shared" si="9"/>
        <v>-435161</v>
      </c>
      <c r="O220">
        <f t="shared" si="10"/>
        <v>-247211</v>
      </c>
      <c r="P220">
        <f t="shared" si="11"/>
        <v>-187950</v>
      </c>
    </row>
    <row r="221" spans="1:16" x14ac:dyDescent="0.35">
      <c r="A221" t="s">
        <v>42</v>
      </c>
      <c r="B221">
        <v>4554</v>
      </c>
      <c r="C221">
        <v>1584500</v>
      </c>
      <c r="D221">
        <v>2128500</v>
      </c>
      <c r="E221">
        <v>4366674</v>
      </c>
      <c r="F221">
        <v>4403431</v>
      </c>
      <c r="G221" s="5">
        <f>+C221/E221</f>
        <v>0.36286198603330588</v>
      </c>
      <c r="H221" s="5">
        <f>+D221/F221</f>
        <v>0.48337307885601022</v>
      </c>
      <c r="I221">
        <v>-0.1205</v>
      </c>
      <c r="J221" s="1">
        <v>-142409</v>
      </c>
      <c r="K221" s="1">
        <v>13433</v>
      </c>
      <c r="L221" s="1">
        <v>10084</v>
      </c>
      <c r="M221" s="1">
        <v>13321</v>
      </c>
      <c r="N221">
        <f t="shared" si="9"/>
        <v>-5057105</v>
      </c>
      <c r="O221">
        <f t="shared" si="10"/>
        <v>-2782174</v>
      </c>
      <c r="P221">
        <f t="shared" si="11"/>
        <v>-2274931</v>
      </c>
    </row>
    <row r="222" spans="1:16" x14ac:dyDescent="0.35">
      <c r="A222" t="s">
        <v>33</v>
      </c>
      <c r="B222" t="s">
        <v>14</v>
      </c>
      <c r="C222">
        <v>1276000</v>
      </c>
      <c r="D222">
        <v>2431500</v>
      </c>
      <c r="E222">
        <v>3536348</v>
      </c>
      <c r="F222">
        <v>3649198</v>
      </c>
      <c r="G222" s="5">
        <f>+C222/E222</f>
        <v>0.36082421752610322</v>
      </c>
      <c r="H222" s="5">
        <f>+D222/F222</f>
        <v>0.66631078938440724</v>
      </c>
      <c r="I222">
        <v>-0.30549999999999999</v>
      </c>
      <c r="J222" s="1">
        <v>-297416</v>
      </c>
      <c r="K222" s="1">
        <v>19056</v>
      </c>
      <c r="L222" s="1">
        <v>10319</v>
      </c>
      <c r="M222" s="1">
        <v>18467</v>
      </c>
      <c r="N222">
        <f t="shared" si="9"/>
        <v>-3478046</v>
      </c>
      <c r="O222">
        <f t="shared" si="10"/>
        <v>-2260348</v>
      </c>
      <c r="P222">
        <f t="shared" si="11"/>
        <v>-1217698</v>
      </c>
    </row>
    <row r="223" spans="1:16" x14ac:dyDescent="0.35">
      <c r="A223" t="s">
        <v>28</v>
      </c>
      <c r="B223">
        <v>3544</v>
      </c>
      <c r="C223">
        <v>1980500</v>
      </c>
      <c r="D223">
        <v>2303000</v>
      </c>
      <c r="E223">
        <v>5511583</v>
      </c>
      <c r="F223">
        <v>5285695</v>
      </c>
      <c r="G223" s="5">
        <f>+C223/E223</f>
        <v>0.3593341513681278</v>
      </c>
      <c r="H223" s="5">
        <f>+D223/F223</f>
        <v>0.43570429243458053</v>
      </c>
      <c r="I223">
        <v>-7.6399999999999996E-2</v>
      </c>
      <c r="J223" s="1">
        <v>-96058</v>
      </c>
      <c r="K223" s="1">
        <v>11628</v>
      </c>
      <c r="L223">
        <v>0.95899999999999996</v>
      </c>
      <c r="M223" s="1">
        <v>12125</v>
      </c>
      <c r="N223">
        <f t="shared" si="9"/>
        <v>-6513778</v>
      </c>
      <c r="O223">
        <f t="shared" si="10"/>
        <v>-3531083</v>
      </c>
      <c r="P223">
        <f t="shared" si="11"/>
        <v>-2982695</v>
      </c>
    </row>
    <row r="224" spans="1:16" x14ac:dyDescent="0.35">
      <c r="A224" t="s">
        <v>31</v>
      </c>
      <c r="B224" t="s">
        <v>14</v>
      </c>
      <c r="C224">
        <v>694000</v>
      </c>
      <c r="D224">
        <v>528500</v>
      </c>
      <c r="E224">
        <v>1966482</v>
      </c>
      <c r="F224">
        <v>1885826</v>
      </c>
      <c r="G224" s="5">
        <f>+C224/E224</f>
        <v>0.35291449400503028</v>
      </c>
      <c r="H224" s="5">
        <f>+D224/F224</f>
        <v>0.28024854891172357</v>
      </c>
      <c r="I224">
        <v>7.2700000000000001E-2</v>
      </c>
      <c r="J224" s="1">
        <v>114767</v>
      </c>
      <c r="K224">
        <v>0.76149999999999995</v>
      </c>
      <c r="L224">
        <v>0.95899999999999996</v>
      </c>
      <c r="M224">
        <v>0.79410000000000003</v>
      </c>
      <c r="N224">
        <f t="shared" si="9"/>
        <v>-2629808</v>
      </c>
      <c r="O224">
        <f t="shared" si="10"/>
        <v>-1272482</v>
      </c>
      <c r="P224">
        <f t="shared" si="11"/>
        <v>-1357326</v>
      </c>
    </row>
    <row r="225" spans="1:16" x14ac:dyDescent="0.35">
      <c r="A225" t="s">
        <v>49</v>
      </c>
      <c r="B225">
        <v>3544</v>
      </c>
      <c r="C225">
        <v>501500</v>
      </c>
      <c r="D225">
        <v>252500</v>
      </c>
      <c r="E225">
        <v>1451780</v>
      </c>
      <c r="F225">
        <v>1567175</v>
      </c>
      <c r="G225" s="5">
        <f>+C225/E225</f>
        <v>0.34543801402416346</v>
      </c>
      <c r="H225" s="5">
        <f>+D225/F225</f>
        <v>0.16111793513806691</v>
      </c>
      <c r="I225">
        <v>0.18429999999999999</v>
      </c>
      <c r="J225" s="1">
        <v>363869</v>
      </c>
      <c r="K225">
        <v>0.50349999999999995</v>
      </c>
      <c r="L225" s="1">
        <v>10795</v>
      </c>
      <c r="M225">
        <v>0.46639999999999998</v>
      </c>
      <c r="N225">
        <f t="shared" si="9"/>
        <v>-2264955</v>
      </c>
      <c r="O225">
        <f t="shared" si="10"/>
        <v>-950280</v>
      </c>
      <c r="P225">
        <f t="shared" si="11"/>
        <v>-1314675</v>
      </c>
    </row>
    <row r="226" spans="1:16" x14ac:dyDescent="0.35">
      <c r="A226" t="s">
        <v>53</v>
      </c>
      <c r="B226">
        <v>3544</v>
      </c>
      <c r="C226">
        <v>393000</v>
      </c>
      <c r="D226">
        <v>558500</v>
      </c>
      <c r="E226">
        <v>1145215</v>
      </c>
      <c r="F226">
        <v>1127310</v>
      </c>
      <c r="G226" s="5">
        <f>+C226/E226</f>
        <v>0.34316700357574781</v>
      </c>
      <c r="H226" s="5">
        <f>+D226/F226</f>
        <v>0.49542716732753189</v>
      </c>
      <c r="I226">
        <v>-0.15229999999999999</v>
      </c>
      <c r="J226" s="1">
        <v>-181566</v>
      </c>
      <c r="K226" s="1">
        <v>14211</v>
      </c>
      <c r="L226">
        <v>0.98440000000000005</v>
      </c>
      <c r="M226" s="1">
        <v>14436</v>
      </c>
      <c r="N226">
        <f t="shared" si="9"/>
        <v>-1321025</v>
      </c>
      <c r="O226">
        <f t="shared" si="10"/>
        <v>-752215</v>
      </c>
      <c r="P226">
        <f t="shared" si="11"/>
        <v>-568810</v>
      </c>
    </row>
    <row r="227" spans="1:16" x14ac:dyDescent="0.35">
      <c r="A227" t="s">
        <v>40</v>
      </c>
      <c r="B227" t="s">
        <v>14</v>
      </c>
      <c r="C227">
        <v>104000</v>
      </c>
      <c r="D227">
        <v>153500</v>
      </c>
      <c r="E227">
        <v>310927</v>
      </c>
      <c r="F227">
        <v>319581</v>
      </c>
      <c r="G227" s="5">
        <f>+C227/E227</f>
        <v>0.33448365693555077</v>
      </c>
      <c r="H227" s="5">
        <f>+D227/F227</f>
        <v>0.48031641430498057</v>
      </c>
      <c r="I227">
        <v>-0.14580000000000001</v>
      </c>
      <c r="J227" s="1">
        <v>-17898</v>
      </c>
      <c r="K227" s="1">
        <v>1476</v>
      </c>
      <c r="L227" s="1">
        <v>10278</v>
      </c>
      <c r="M227" s="1">
        <v>14361</v>
      </c>
      <c r="N227">
        <f t="shared" si="9"/>
        <v>-373008</v>
      </c>
      <c r="O227">
        <f t="shared" si="10"/>
        <v>-206927</v>
      </c>
      <c r="P227">
        <f t="shared" si="11"/>
        <v>-166081</v>
      </c>
    </row>
    <row r="228" spans="1:16" x14ac:dyDescent="0.35">
      <c r="A228" t="s">
        <v>55</v>
      </c>
      <c r="B228" t="s">
        <v>14</v>
      </c>
      <c r="C228">
        <v>46000</v>
      </c>
      <c r="D228">
        <v>36500</v>
      </c>
      <c r="E228">
        <v>138068</v>
      </c>
      <c r="F228">
        <v>87478</v>
      </c>
      <c r="G228" s="5">
        <f>+C228/E228</f>
        <v>0.33316916302112004</v>
      </c>
      <c r="H228" s="5">
        <f>+D228/F228</f>
        <v>0.41724776515238116</v>
      </c>
      <c r="I228">
        <v>-8.4099999999999994E-2</v>
      </c>
      <c r="J228" s="1">
        <v>-112043</v>
      </c>
      <c r="K228">
        <v>0.79349999999999998</v>
      </c>
      <c r="L228">
        <v>0.63360000000000005</v>
      </c>
      <c r="M228" s="1">
        <v>12524</v>
      </c>
      <c r="N228">
        <f t="shared" si="9"/>
        <v>-143046</v>
      </c>
      <c r="O228">
        <f t="shared" si="10"/>
        <v>-92068</v>
      </c>
      <c r="P228">
        <f t="shared" si="11"/>
        <v>-50978</v>
      </c>
    </row>
    <row r="229" spans="1:16" x14ac:dyDescent="0.35">
      <c r="A229" t="s">
        <v>58</v>
      </c>
      <c r="B229">
        <v>3544</v>
      </c>
      <c r="C229">
        <v>980500</v>
      </c>
      <c r="D229">
        <v>1268000</v>
      </c>
      <c r="E229">
        <v>2975259</v>
      </c>
      <c r="F229">
        <v>2886246</v>
      </c>
      <c r="G229" s="5">
        <f>+C229/E229</f>
        <v>0.32955114159809279</v>
      </c>
      <c r="H229" s="5">
        <f>+D229/F229</f>
        <v>0.43932499170202399</v>
      </c>
      <c r="I229">
        <v>-0.10979999999999999</v>
      </c>
      <c r="J229" s="1">
        <v>-142772</v>
      </c>
      <c r="K229" s="1">
        <v>12932</v>
      </c>
      <c r="L229">
        <v>0.97009999999999996</v>
      </c>
      <c r="M229" s="1">
        <v>13331</v>
      </c>
      <c r="N229">
        <f t="shared" si="9"/>
        <v>-3613005</v>
      </c>
      <c r="O229">
        <f t="shared" si="10"/>
        <v>-1994759</v>
      </c>
      <c r="P229">
        <f t="shared" si="11"/>
        <v>-1618246</v>
      </c>
    </row>
    <row r="230" spans="1:16" x14ac:dyDescent="0.35">
      <c r="A230" t="s">
        <v>36</v>
      </c>
      <c r="B230">
        <v>4554</v>
      </c>
      <c r="C230">
        <v>1367500</v>
      </c>
      <c r="D230">
        <v>2178500</v>
      </c>
      <c r="E230">
        <v>4263887</v>
      </c>
      <c r="F230">
        <v>4360763</v>
      </c>
      <c r="G230" s="5">
        <f>+C230/E230</f>
        <v>0.32071675445432768</v>
      </c>
      <c r="H230" s="5">
        <f>+D230/F230</f>
        <v>0.4995685388084608</v>
      </c>
      <c r="I230">
        <v>-0.1789</v>
      </c>
      <c r="J230" s="1">
        <v>-218036</v>
      </c>
      <c r="K230" s="1">
        <v>15931</v>
      </c>
      <c r="L230" s="1">
        <v>10227</v>
      </c>
      <c r="M230" s="1">
        <v>15577</v>
      </c>
      <c r="N230">
        <f t="shared" si="9"/>
        <v>-5078650</v>
      </c>
      <c r="O230">
        <f t="shared" si="10"/>
        <v>-2896387</v>
      </c>
      <c r="P230">
        <f t="shared" si="11"/>
        <v>-2182263</v>
      </c>
    </row>
    <row r="231" spans="1:16" x14ac:dyDescent="0.35">
      <c r="A231" t="s">
        <v>54</v>
      </c>
      <c r="B231">
        <v>3544</v>
      </c>
      <c r="C231">
        <v>123500</v>
      </c>
      <c r="D231">
        <v>155000</v>
      </c>
      <c r="E231">
        <v>387815</v>
      </c>
      <c r="F231">
        <v>372154</v>
      </c>
      <c r="G231" s="5">
        <f>+C231/E231</f>
        <v>0.31845080773049006</v>
      </c>
      <c r="H231" s="5">
        <f>+D231/F231</f>
        <v>0.41649424700527199</v>
      </c>
      <c r="I231">
        <v>-9.8000000000000004E-2</v>
      </c>
      <c r="J231" s="1">
        <v>-133402</v>
      </c>
      <c r="K231" s="1">
        <v>12551</v>
      </c>
      <c r="L231">
        <v>0.95960000000000001</v>
      </c>
      <c r="M231" s="1">
        <v>13079</v>
      </c>
      <c r="N231">
        <f t="shared" si="9"/>
        <v>-481469</v>
      </c>
      <c r="O231">
        <f t="shared" si="10"/>
        <v>-264315</v>
      </c>
      <c r="P231">
        <f t="shared" si="11"/>
        <v>-217154</v>
      </c>
    </row>
    <row r="232" spans="1:16" x14ac:dyDescent="0.35">
      <c r="A232" t="s">
        <v>16</v>
      </c>
      <c r="B232">
        <v>3544</v>
      </c>
      <c r="C232">
        <v>197500</v>
      </c>
      <c r="D232">
        <v>220500</v>
      </c>
      <c r="E232">
        <v>633253</v>
      </c>
      <c r="F232">
        <v>618578</v>
      </c>
      <c r="G232" s="5">
        <f>+C232/E232</f>
        <v>0.3118816649901382</v>
      </c>
      <c r="H232" s="5">
        <f>+D232/F232</f>
        <v>0.3564627258001416</v>
      </c>
      <c r="I232">
        <v>-4.4600000000000001E-2</v>
      </c>
      <c r="J232" s="1">
        <v>-66704</v>
      </c>
      <c r="K232" s="1">
        <v>11165</v>
      </c>
      <c r="L232">
        <v>0.9768</v>
      </c>
      <c r="M232" s="1">
        <v>1143</v>
      </c>
      <c r="N232">
        <f t="shared" si="9"/>
        <v>-833831</v>
      </c>
      <c r="O232">
        <f t="shared" si="10"/>
        <v>-435753</v>
      </c>
      <c r="P232">
        <f t="shared" si="11"/>
        <v>-398078</v>
      </c>
    </row>
    <row r="233" spans="1:16" x14ac:dyDescent="0.35">
      <c r="A233" t="s">
        <v>35</v>
      </c>
      <c r="B233">
        <v>4554</v>
      </c>
      <c r="C233">
        <v>1333000</v>
      </c>
      <c r="D233">
        <v>1766000</v>
      </c>
      <c r="E233">
        <v>4281636</v>
      </c>
      <c r="F233">
        <v>4374865</v>
      </c>
      <c r="G233" s="5">
        <f>+C233/E233</f>
        <v>0.31132959457553139</v>
      </c>
      <c r="H233" s="5">
        <f>+D233/F233</f>
        <v>0.40366959894762466</v>
      </c>
      <c r="I233">
        <v>-9.2299999999999993E-2</v>
      </c>
      <c r="J233" s="1">
        <v>-129147</v>
      </c>
      <c r="K233" s="1">
        <v>13248</v>
      </c>
      <c r="L233" s="1">
        <v>10218</v>
      </c>
      <c r="M233" s="1">
        <v>12965</v>
      </c>
      <c r="N233">
        <f t="shared" si="9"/>
        <v>-5557501</v>
      </c>
      <c r="O233">
        <f t="shared" si="10"/>
        <v>-2948636</v>
      </c>
      <c r="P233">
        <f t="shared" si="11"/>
        <v>-2608865</v>
      </c>
    </row>
    <row r="234" spans="1:16" x14ac:dyDescent="0.35">
      <c r="A234" t="s">
        <v>65</v>
      </c>
      <c r="B234">
        <v>3544</v>
      </c>
      <c r="C234">
        <v>226000</v>
      </c>
      <c r="D234">
        <v>283000</v>
      </c>
      <c r="E234">
        <v>726065</v>
      </c>
      <c r="F234">
        <v>688016</v>
      </c>
      <c r="G234" s="5">
        <f>+C234/E234</f>
        <v>0.31126689759181342</v>
      </c>
      <c r="H234" s="5">
        <f>+D234/F234</f>
        <v>0.41132764354317342</v>
      </c>
      <c r="I234">
        <v>-0.10009999999999999</v>
      </c>
      <c r="J234" s="1">
        <v>-138474</v>
      </c>
      <c r="K234" s="1">
        <v>12522</v>
      </c>
      <c r="L234">
        <v>0.9476</v>
      </c>
      <c r="M234" s="1">
        <v>13214</v>
      </c>
      <c r="N234">
        <f t="shared" si="9"/>
        <v>-905081</v>
      </c>
      <c r="O234">
        <f t="shared" si="10"/>
        <v>-500065</v>
      </c>
      <c r="P234">
        <f t="shared" si="11"/>
        <v>-405016</v>
      </c>
    </row>
    <row r="235" spans="1:16" x14ac:dyDescent="0.35">
      <c r="A235" t="s">
        <v>24</v>
      </c>
      <c r="B235">
        <v>4554</v>
      </c>
      <c r="C235">
        <v>767000</v>
      </c>
      <c r="D235">
        <v>673500</v>
      </c>
      <c r="E235">
        <v>2494459</v>
      </c>
      <c r="F235">
        <v>2545411</v>
      </c>
      <c r="G235" s="5">
        <f>+C235/E235</f>
        <v>0.30748150200103508</v>
      </c>
      <c r="H235" s="5">
        <f>+D235/F235</f>
        <v>0.26459381215842942</v>
      </c>
      <c r="I235">
        <v>4.2900000000000001E-2</v>
      </c>
      <c r="J235" s="1">
        <v>74969</v>
      </c>
      <c r="K235">
        <v>0.87809999999999999</v>
      </c>
      <c r="L235" s="1">
        <v>10204</v>
      </c>
      <c r="M235">
        <v>0.86050000000000004</v>
      </c>
      <c r="N235">
        <f t="shared" si="9"/>
        <v>-3599370</v>
      </c>
      <c r="O235">
        <f t="shared" si="10"/>
        <v>-1727459</v>
      </c>
      <c r="P235">
        <f t="shared" si="11"/>
        <v>-1871911</v>
      </c>
    </row>
    <row r="236" spans="1:16" x14ac:dyDescent="0.35">
      <c r="A236" t="s">
        <v>25</v>
      </c>
      <c r="B236">
        <v>3544</v>
      </c>
      <c r="C236">
        <v>198500</v>
      </c>
      <c r="D236">
        <v>224000</v>
      </c>
      <c r="E236">
        <v>645772</v>
      </c>
      <c r="F236">
        <v>632669</v>
      </c>
      <c r="G236" s="5">
        <f>+C236/E236</f>
        <v>0.30738403027693983</v>
      </c>
      <c r="H236" s="5">
        <f>+D236/F236</f>
        <v>0.35405559621223737</v>
      </c>
      <c r="I236">
        <v>-4.6699999999999998E-2</v>
      </c>
      <c r="J236" s="1">
        <v>-70561</v>
      </c>
      <c r="K236" s="1">
        <v>11285</v>
      </c>
      <c r="L236">
        <v>0.97970000000000002</v>
      </c>
      <c r="M236" s="1">
        <v>11519</v>
      </c>
      <c r="N236">
        <f t="shared" si="9"/>
        <v>-855941</v>
      </c>
      <c r="O236">
        <f t="shared" si="10"/>
        <v>-447272</v>
      </c>
      <c r="P236">
        <f t="shared" si="11"/>
        <v>-408669</v>
      </c>
    </row>
    <row r="237" spans="1:16" x14ac:dyDescent="0.35">
      <c r="A237" t="s">
        <v>60</v>
      </c>
      <c r="B237">
        <v>4554</v>
      </c>
      <c r="C237">
        <v>232000</v>
      </c>
      <c r="D237">
        <v>367500</v>
      </c>
      <c r="E237">
        <v>761873</v>
      </c>
      <c r="F237">
        <v>830650</v>
      </c>
      <c r="G237" s="5">
        <f>+C237/E237</f>
        <v>0.30451269437294665</v>
      </c>
      <c r="H237" s="5">
        <f>+D237/F237</f>
        <v>0.44242460723529764</v>
      </c>
      <c r="I237">
        <v>-0.13789999999999999</v>
      </c>
      <c r="J237" s="1">
        <v>-184637</v>
      </c>
      <c r="K237" s="1">
        <v>15841</v>
      </c>
      <c r="L237" s="1">
        <v>10903</v>
      </c>
      <c r="M237" s="1">
        <v>14529</v>
      </c>
      <c r="N237">
        <f t="shared" si="9"/>
        <v>-993023</v>
      </c>
      <c r="O237">
        <f t="shared" si="10"/>
        <v>-529873</v>
      </c>
      <c r="P237">
        <f t="shared" si="11"/>
        <v>-463150</v>
      </c>
    </row>
    <row r="238" spans="1:16" x14ac:dyDescent="0.35">
      <c r="A238" t="s">
        <v>52</v>
      </c>
      <c r="B238" t="s">
        <v>14</v>
      </c>
      <c r="C238">
        <v>1485000</v>
      </c>
      <c r="D238">
        <v>887500</v>
      </c>
      <c r="E238">
        <v>4902912</v>
      </c>
      <c r="F238">
        <v>5041940</v>
      </c>
      <c r="G238" s="5">
        <f>+C238/E238</f>
        <v>0.30288122650375937</v>
      </c>
      <c r="H238" s="5">
        <f>+D238/F238</f>
        <v>0.17602351475820815</v>
      </c>
      <c r="I238">
        <v>0.12690000000000001</v>
      </c>
      <c r="J238" s="1">
        <v>264891</v>
      </c>
      <c r="K238">
        <v>0.59760000000000002</v>
      </c>
      <c r="L238" s="1">
        <v>10284</v>
      </c>
      <c r="M238">
        <v>0.58109999999999995</v>
      </c>
      <c r="N238">
        <f t="shared" si="9"/>
        <v>-7572352</v>
      </c>
      <c r="O238">
        <f t="shared" si="10"/>
        <v>-3417912</v>
      </c>
      <c r="P238">
        <f t="shared" si="11"/>
        <v>-4154440</v>
      </c>
    </row>
    <row r="239" spans="1:16" x14ac:dyDescent="0.35">
      <c r="A239" t="s">
        <v>39</v>
      </c>
      <c r="B239">
        <v>4554</v>
      </c>
      <c r="C239">
        <v>236000</v>
      </c>
      <c r="D239">
        <v>297000</v>
      </c>
      <c r="E239">
        <v>780998</v>
      </c>
      <c r="F239">
        <v>772498</v>
      </c>
      <c r="G239" s="5">
        <f>+C239/E239</f>
        <v>0.30217747036484088</v>
      </c>
      <c r="H239" s="5">
        <f>+D239/F239</f>
        <v>0.38446701480133283</v>
      </c>
      <c r="I239">
        <v>-8.2299999999999998E-2</v>
      </c>
      <c r="J239" s="1">
        <v>-119843</v>
      </c>
      <c r="K239" s="1">
        <v>12585</v>
      </c>
      <c r="L239">
        <v>0.98909999999999998</v>
      </c>
      <c r="M239" s="1">
        <v>12724</v>
      </c>
      <c r="N239">
        <f t="shared" si="9"/>
        <v>-1020496</v>
      </c>
      <c r="O239">
        <f t="shared" si="10"/>
        <v>-544998</v>
      </c>
      <c r="P239">
        <f t="shared" si="11"/>
        <v>-475498</v>
      </c>
    </row>
    <row r="240" spans="1:16" x14ac:dyDescent="0.35">
      <c r="A240" t="s">
        <v>31</v>
      </c>
      <c r="B240">
        <v>4554</v>
      </c>
      <c r="C240">
        <v>871000</v>
      </c>
      <c r="D240">
        <v>499000</v>
      </c>
      <c r="E240">
        <v>2902978</v>
      </c>
      <c r="F240">
        <v>2760633</v>
      </c>
      <c r="G240" s="5">
        <f>+C240/E240</f>
        <v>0.30003672091211164</v>
      </c>
      <c r="H240" s="5">
        <f>+D240/F240</f>
        <v>0.18075564553491899</v>
      </c>
      <c r="I240">
        <v>0.1193</v>
      </c>
      <c r="J240" s="1">
        <v>248093</v>
      </c>
      <c r="K240">
        <v>0.57289999999999996</v>
      </c>
      <c r="L240">
        <v>0.95099999999999996</v>
      </c>
      <c r="M240">
        <v>0.60240000000000005</v>
      </c>
      <c r="N240">
        <f t="shared" si="9"/>
        <v>-4293611</v>
      </c>
      <c r="O240">
        <f t="shared" si="10"/>
        <v>-2031978</v>
      </c>
      <c r="P240">
        <f t="shared" si="11"/>
        <v>-2261633</v>
      </c>
    </row>
    <row r="241" spans="1:16" x14ac:dyDescent="0.35">
      <c r="A241" t="s">
        <v>55</v>
      </c>
      <c r="B241">
        <v>3544</v>
      </c>
      <c r="C241">
        <v>252500</v>
      </c>
      <c r="D241">
        <v>117000</v>
      </c>
      <c r="E241">
        <v>847017</v>
      </c>
      <c r="F241">
        <v>368042</v>
      </c>
      <c r="G241" s="5">
        <f>+C241/E241</f>
        <v>0.29810499671199042</v>
      </c>
      <c r="H241" s="5">
        <f>+D241/F241</f>
        <v>0.31789850071459236</v>
      </c>
      <c r="I241">
        <v>-1.9800000000000002E-2</v>
      </c>
      <c r="J241" s="1">
        <v>-32132</v>
      </c>
      <c r="K241">
        <v>0.46339999999999998</v>
      </c>
      <c r="L241">
        <v>0.4345</v>
      </c>
      <c r="M241" s="1">
        <v>10665</v>
      </c>
      <c r="N241">
        <f t="shared" si="9"/>
        <v>-845559</v>
      </c>
      <c r="O241">
        <f t="shared" si="10"/>
        <v>-594517</v>
      </c>
      <c r="P241">
        <f t="shared" si="11"/>
        <v>-251042</v>
      </c>
    </row>
    <row r="242" spans="1:16" x14ac:dyDescent="0.35">
      <c r="A242" t="s">
        <v>59</v>
      </c>
      <c r="B242">
        <v>3544</v>
      </c>
      <c r="C242">
        <v>52500</v>
      </c>
      <c r="D242">
        <v>42500</v>
      </c>
      <c r="E242">
        <v>177211</v>
      </c>
      <c r="F242">
        <v>198007</v>
      </c>
      <c r="G242" s="5">
        <f>+C242/E242</f>
        <v>0.29625700436203173</v>
      </c>
      <c r="H242" s="5">
        <f>+D242/F242</f>
        <v>0.21463887640335949</v>
      </c>
      <c r="I242">
        <v>8.1600000000000006E-2</v>
      </c>
      <c r="J242" s="1">
        <v>159755</v>
      </c>
      <c r="K242">
        <v>0.8095</v>
      </c>
      <c r="L242" s="1">
        <v>11174</v>
      </c>
      <c r="M242">
        <v>0.72440000000000004</v>
      </c>
      <c r="N242">
        <f t="shared" si="9"/>
        <v>-280218</v>
      </c>
      <c r="O242">
        <f t="shared" si="10"/>
        <v>-124711</v>
      </c>
      <c r="P242">
        <f t="shared" si="11"/>
        <v>-155507</v>
      </c>
    </row>
    <row r="243" spans="1:16" x14ac:dyDescent="0.35">
      <c r="A243" t="s">
        <v>36</v>
      </c>
      <c r="B243" t="s">
        <v>14</v>
      </c>
      <c r="C243">
        <v>1240500</v>
      </c>
      <c r="D243">
        <v>2004000</v>
      </c>
      <c r="E243">
        <v>4199397</v>
      </c>
      <c r="F243">
        <v>4564101</v>
      </c>
      <c r="G243" s="5">
        <f>+C243/E243</f>
        <v>0.29539955379308031</v>
      </c>
      <c r="H243" s="5">
        <f>+D243/F243</f>
        <v>0.43907880215621869</v>
      </c>
      <c r="I243">
        <v>-0.14369999999999999</v>
      </c>
      <c r="J243" s="1">
        <v>-195621</v>
      </c>
      <c r="K243" s="1">
        <v>16155</v>
      </c>
      <c r="L243" s="1">
        <v>10868</v>
      </c>
      <c r="M243" s="1">
        <v>14865</v>
      </c>
      <c r="N243">
        <f t="shared" si="9"/>
        <v>-5518998</v>
      </c>
      <c r="O243">
        <f t="shared" si="10"/>
        <v>-2958897</v>
      </c>
      <c r="P243">
        <f t="shared" si="11"/>
        <v>-2560101</v>
      </c>
    </row>
    <row r="244" spans="1:16" x14ac:dyDescent="0.35">
      <c r="A244" t="s">
        <v>45</v>
      </c>
      <c r="B244" t="s">
        <v>14</v>
      </c>
      <c r="C244">
        <v>364000</v>
      </c>
      <c r="D244">
        <v>312500</v>
      </c>
      <c r="E244">
        <v>1248806</v>
      </c>
      <c r="F244">
        <v>1324462</v>
      </c>
      <c r="G244" s="5">
        <f>+C244/E244</f>
        <v>0.29147842018696257</v>
      </c>
      <c r="H244" s="5">
        <f>+D244/F244</f>
        <v>0.23594485912015595</v>
      </c>
      <c r="I244">
        <v>5.5500000000000001E-2</v>
      </c>
      <c r="J244" s="1">
        <v>105292</v>
      </c>
      <c r="K244">
        <v>0.85850000000000004</v>
      </c>
      <c r="L244" s="1">
        <v>10606</v>
      </c>
      <c r="M244">
        <v>0.80940000000000001</v>
      </c>
      <c r="N244">
        <f t="shared" si="9"/>
        <v>-1896768</v>
      </c>
      <c r="O244">
        <f t="shared" si="10"/>
        <v>-884806</v>
      </c>
      <c r="P244">
        <f t="shared" si="11"/>
        <v>-1011962</v>
      </c>
    </row>
    <row r="245" spans="1:16" x14ac:dyDescent="0.35">
      <c r="A245" t="s">
        <v>39</v>
      </c>
      <c r="B245" t="s">
        <v>14</v>
      </c>
      <c r="C245">
        <v>162000</v>
      </c>
      <c r="D245">
        <v>229500</v>
      </c>
      <c r="E245">
        <v>560855</v>
      </c>
      <c r="F245">
        <v>612052</v>
      </c>
      <c r="G245" s="5">
        <f>+C245/E245</f>
        <v>0.28884471030836845</v>
      </c>
      <c r="H245" s="5">
        <f>+D245/F245</f>
        <v>0.37496813996196404</v>
      </c>
      <c r="I245">
        <v>-8.6099999999999996E-2</v>
      </c>
      <c r="J245" s="1">
        <v>-129741</v>
      </c>
      <c r="K245" s="1">
        <v>14167</v>
      </c>
      <c r="L245" s="1">
        <v>10913</v>
      </c>
      <c r="M245" s="1">
        <v>12982</v>
      </c>
      <c r="N245">
        <f t="shared" si="9"/>
        <v>-781407</v>
      </c>
      <c r="O245">
        <f t="shared" si="10"/>
        <v>-398855</v>
      </c>
      <c r="P245">
        <f t="shared" si="11"/>
        <v>-382552</v>
      </c>
    </row>
    <row r="246" spans="1:16" x14ac:dyDescent="0.35">
      <c r="A246" t="s">
        <v>56</v>
      </c>
      <c r="B246" t="s">
        <v>14</v>
      </c>
      <c r="C246">
        <v>1932000</v>
      </c>
      <c r="D246">
        <v>915000</v>
      </c>
      <c r="E246">
        <v>6695295</v>
      </c>
      <c r="F246">
        <v>6946714</v>
      </c>
      <c r="G246" s="5">
        <f>+C246/E246</f>
        <v>0.28856084758027839</v>
      </c>
      <c r="H246" s="5">
        <f>+D246/F246</f>
        <v>0.13171695279235621</v>
      </c>
      <c r="I246">
        <v>0.15679999999999999</v>
      </c>
      <c r="J246" s="1">
        <v>373191</v>
      </c>
      <c r="K246">
        <v>0.47360000000000002</v>
      </c>
      <c r="L246" s="1">
        <v>10376</v>
      </c>
      <c r="M246">
        <v>0.45639999999999997</v>
      </c>
      <c r="N246">
        <f t="shared" si="9"/>
        <v>-10795009</v>
      </c>
      <c r="O246">
        <f t="shared" si="10"/>
        <v>-4763295</v>
      </c>
      <c r="P246">
        <f t="shared" si="11"/>
        <v>-6031714</v>
      </c>
    </row>
    <row r="247" spans="1:16" x14ac:dyDescent="0.35">
      <c r="A247" t="s">
        <v>34</v>
      </c>
      <c r="B247">
        <v>3544</v>
      </c>
      <c r="C247">
        <v>107500</v>
      </c>
      <c r="D247">
        <v>137500</v>
      </c>
      <c r="E247">
        <v>377436</v>
      </c>
      <c r="F247">
        <v>352895</v>
      </c>
      <c r="G247" s="5">
        <f>+C247/E247</f>
        <v>0.28481649869116882</v>
      </c>
      <c r="H247" s="5">
        <f>+D247/F247</f>
        <v>0.38963431048895564</v>
      </c>
      <c r="I247">
        <v>-0.1048</v>
      </c>
      <c r="J247" s="1">
        <v>-155412</v>
      </c>
      <c r="K247" s="1">
        <v>12791</v>
      </c>
      <c r="L247">
        <v>0.93500000000000005</v>
      </c>
      <c r="M247" s="1">
        <v>1368</v>
      </c>
      <c r="N247">
        <f t="shared" si="9"/>
        <v>-485331</v>
      </c>
      <c r="O247">
        <f t="shared" si="10"/>
        <v>-269936</v>
      </c>
      <c r="P247">
        <f t="shared" si="11"/>
        <v>-215395</v>
      </c>
    </row>
    <row r="248" spans="1:16" x14ac:dyDescent="0.35">
      <c r="A248" t="s">
        <v>59</v>
      </c>
      <c r="B248">
        <v>2024</v>
      </c>
      <c r="C248">
        <v>29500</v>
      </c>
      <c r="D248">
        <v>37500</v>
      </c>
      <c r="E248">
        <v>104269</v>
      </c>
      <c r="F248">
        <v>99859</v>
      </c>
      <c r="G248" s="5">
        <f>+C248/E248</f>
        <v>0.28292205737083886</v>
      </c>
      <c r="H248" s="5">
        <f>+D248/F248</f>
        <v>0.37552949659019219</v>
      </c>
      <c r="I248">
        <v>-9.2600000000000002E-2</v>
      </c>
      <c r="J248" s="1">
        <v>-140644</v>
      </c>
      <c r="K248" s="1">
        <v>12712</v>
      </c>
      <c r="L248">
        <v>0.9577</v>
      </c>
      <c r="M248" s="1">
        <v>13273</v>
      </c>
      <c r="N248">
        <f t="shared" si="9"/>
        <v>-137128</v>
      </c>
      <c r="O248">
        <f t="shared" si="10"/>
        <v>-74769</v>
      </c>
      <c r="P248">
        <f t="shared" si="11"/>
        <v>-62359</v>
      </c>
    </row>
    <row r="249" spans="1:16" x14ac:dyDescent="0.35">
      <c r="A249" t="s">
        <v>45</v>
      </c>
      <c r="B249">
        <v>4554</v>
      </c>
      <c r="C249">
        <v>607000</v>
      </c>
      <c r="D249">
        <v>351500</v>
      </c>
      <c r="E249">
        <v>2165767</v>
      </c>
      <c r="F249">
        <v>2135874</v>
      </c>
      <c r="G249" s="5">
        <f>+C249/E249</f>
        <v>0.28027022297412418</v>
      </c>
      <c r="H249" s="5">
        <f>+D249/F249</f>
        <v>0.16456963285287429</v>
      </c>
      <c r="I249">
        <v>0.1157</v>
      </c>
      <c r="J249" s="1">
        <v>260095</v>
      </c>
      <c r="K249">
        <v>0.57909999999999995</v>
      </c>
      <c r="L249">
        <v>0.98619999999999997</v>
      </c>
      <c r="M249">
        <v>0.58720000000000006</v>
      </c>
      <c r="N249">
        <f t="shared" si="9"/>
        <v>-3343141</v>
      </c>
      <c r="O249">
        <f t="shared" si="10"/>
        <v>-1558767</v>
      </c>
      <c r="P249">
        <f t="shared" si="11"/>
        <v>-1784374</v>
      </c>
    </row>
    <row r="250" spans="1:16" x14ac:dyDescent="0.35">
      <c r="A250" t="s">
        <v>18</v>
      </c>
      <c r="B250">
        <v>4554</v>
      </c>
      <c r="C250">
        <v>212000</v>
      </c>
      <c r="D250">
        <v>268500</v>
      </c>
      <c r="E250">
        <v>768275</v>
      </c>
      <c r="F250">
        <v>758759</v>
      </c>
      <c r="G250" s="5">
        <f>+C250/E250</f>
        <v>0.27594285900231036</v>
      </c>
      <c r="H250" s="5">
        <f>+D250/F250</f>
        <v>0.35386730173876024</v>
      </c>
      <c r="I250">
        <v>-7.7899999999999997E-2</v>
      </c>
      <c r="J250" s="1">
        <v>-123727</v>
      </c>
      <c r="K250" s="1">
        <v>12665</v>
      </c>
      <c r="L250">
        <v>0.98760000000000003</v>
      </c>
      <c r="M250" s="1">
        <v>12824</v>
      </c>
      <c r="N250">
        <f t="shared" si="9"/>
        <v>-1046534</v>
      </c>
      <c r="O250">
        <f t="shared" si="10"/>
        <v>-556275</v>
      </c>
      <c r="P250">
        <f t="shared" si="11"/>
        <v>-490259</v>
      </c>
    </row>
    <row r="251" spans="1:16" x14ac:dyDescent="0.35">
      <c r="A251" t="s">
        <v>53</v>
      </c>
      <c r="B251">
        <v>4554</v>
      </c>
      <c r="C251">
        <v>301500</v>
      </c>
      <c r="D251">
        <v>469500</v>
      </c>
      <c r="E251">
        <v>1096492</v>
      </c>
      <c r="F251">
        <v>1106190</v>
      </c>
      <c r="G251" s="5">
        <f>+C251/E251</f>
        <v>0.27496780642266427</v>
      </c>
      <c r="H251" s="5">
        <f>+D251/F251</f>
        <v>0.42442979958235022</v>
      </c>
      <c r="I251">
        <v>-0.14949999999999999</v>
      </c>
      <c r="J251" s="1">
        <v>-213701</v>
      </c>
      <c r="K251" s="1">
        <v>15572</v>
      </c>
      <c r="L251" s="1">
        <v>10088</v>
      </c>
      <c r="M251" s="1">
        <v>15436</v>
      </c>
      <c r="N251">
        <f t="shared" si="9"/>
        <v>-1431682</v>
      </c>
      <c r="O251">
        <f t="shared" si="10"/>
        <v>-794992</v>
      </c>
      <c r="P251">
        <f t="shared" si="11"/>
        <v>-636690</v>
      </c>
    </row>
    <row r="252" spans="1:16" x14ac:dyDescent="0.35">
      <c r="A252" t="s">
        <v>28</v>
      </c>
      <c r="B252">
        <v>4554</v>
      </c>
      <c r="C252">
        <v>1335000</v>
      </c>
      <c r="D252">
        <v>1626000</v>
      </c>
      <c r="E252">
        <v>5060644</v>
      </c>
      <c r="F252">
        <v>5041698</v>
      </c>
      <c r="G252" s="5">
        <f>+C252/E252</f>
        <v>0.2638004174962712</v>
      </c>
      <c r="H252" s="5">
        <f>+D252/F252</f>
        <v>0.32251039233210715</v>
      </c>
      <c r="I252">
        <v>-5.8700000000000002E-2</v>
      </c>
      <c r="J252" s="1">
        <v>-100135</v>
      </c>
      <c r="K252" s="1">
        <v>1218</v>
      </c>
      <c r="L252">
        <v>0.99629999999999996</v>
      </c>
      <c r="M252" s="1">
        <v>12225</v>
      </c>
      <c r="N252">
        <f t="shared" si="9"/>
        <v>-7141342</v>
      </c>
      <c r="O252">
        <f t="shared" si="10"/>
        <v>-3725644</v>
      </c>
      <c r="P252">
        <f t="shared" si="11"/>
        <v>-3415698</v>
      </c>
    </row>
    <row r="253" spans="1:16" x14ac:dyDescent="0.35">
      <c r="A253" t="s">
        <v>35</v>
      </c>
      <c r="B253" t="s">
        <v>14</v>
      </c>
      <c r="C253">
        <v>1090500</v>
      </c>
      <c r="D253">
        <v>1580500</v>
      </c>
      <c r="E253">
        <v>4174183</v>
      </c>
      <c r="F253">
        <v>4481437</v>
      </c>
      <c r="G253" s="5">
        <f>+C253/E253</f>
        <v>0.26124872819423584</v>
      </c>
      <c r="H253" s="5">
        <f>+D253/F253</f>
        <v>0.35267705425737322</v>
      </c>
      <c r="I253">
        <v>-9.1399999999999995E-2</v>
      </c>
      <c r="J253" s="1">
        <v>-148924</v>
      </c>
      <c r="K253" s="1">
        <v>14493</v>
      </c>
      <c r="L253" s="1">
        <v>10736</v>
      </c>
      <c r="M253" s="1">
        <v>13499</v>
      </c>
      <c r="N253">
        <f t="shared" si="9"/>
        <v>-5984620</v>
      </c>
      <c r="O253">
        <f t="shared" si="10"/>
        <v>-3083683</v>
      </c>
      <c r="P253">
        <f t="shared" si="11"/>
        <v>-2900937</v>
      </c>
    </row>
    <row r="254" spans="1:16" x14ac:dyDescent="0.35">
      <c r="A254" t="s">
        <v>19</v>
      </c>
      <c r="B254">
        <v>3544</v>
      </c>
      <c r="C254">
        <v>2935000</v>
      </c>
      <c r="D254">
        <v>1189000</v>
      </c>
      <c r="E254">
        <v>11629997</v>
      </c>
      <c r="F254">
        <v>12757105</v>
      </c>
      <c r="G254" s="5">
        <f>+C254/E254</f>
        <v>0.25236463947497151</v>
      </c>
      <c r="H254" s="5">
        <f>+D254/F254</f>
        <v>9.3202964152133264E-2</v>
      </c>
      <c r="I254">
        <v>0.15920000000000001</v>
      </c>
      <c r="J254" s="1">
        <v>46058</v>
      </c>
      <c r="K254">
        <v>0.40510000000000002</v>
      </c>
      <c r="L254" s="1">
        <v>10969</v>
      </c>
      <c r="M254">
        <v>0.36930000000000002</v>
      </c>
      <c r="N254">
        <f t="shared" si="9"/>
        <v>-20263102</v>
      </c>
      <c r="O254">
        <f t="shared" si="10"/>
        <v>-8694997</v>
      </c>
      <c r="P254">
        <f t="shared" si="11"/>
        <v>-11568105</v>
      </c>
    </row>
    <row r="255" spans="1:16" x14ac:dyDescent="0.35">
      <c r="A255" t="s">
        <v>59</v>
      </c>
      <c r="B255" t="s">
        <v>14</v>
      </c>
      <c r="C255">
        <v>50500</v>
      </c>
      <c r="D255">
        <v>30500</v>
      </c>
      <c r="E255">
        <v>204418</v>
      </c>
      <c r="F255">
        <v>240955</v>
      </c>
      <c r="G255" s="5">
        <f>+C255/E255</f>
        <v>0.24704282401745442</v>
      </c>
      <c r="H255" s="5">
        <f>+D255/F255</f>
        <v>0.12657965180220374</v>
      </c>
      <c r="I255">
        <v>0.1205</v>
      </c>
      <c r="J255" s="1">
        <v>32242</v>
      </c>
      <c r="K255">
        <v>0.60399999999999998</v>
      </c>
      <c r="L255" s="1">
        <v>11787</v>
      </c>
      <c r="M255">
        <v>0.51239999999999997</v>
      </c>
      <c r="N255">
        <f t="shared" si="9"/>
        <v>-364373</v>
      </c>
      <c r="O255">
        <f t="shared" si="10"/>
        <v>-153918</v>
      </c>
      <c r="P255">
        <f t="shared" si="11"/>
        <v>-210455</v>
      </c>
    </row>
    <row r="256" spans="1:16" x14ac:dyDescent="0.35">
      <c r="A256" t="s">
        <v>60</v>
      </c>
      <c r="B256" t="s">
        <v>14</v>
      </c>
      <c r="C256">
        <v>172000</v>
      </c>
      <c r="D256">
        <v>304000</v>
      </c>
      <c r="E256">
        <v>697716</v>
      </c>
      <c r="F256">
        <v>795902</v>
      </c>
      <c r="G256" s="5">
        <f>+C256/E256</f>
        <v>0.24651864082234032</v>
      </c>
      <c r="H256" s="5">
        <f>+D256/F256</f>
        <v>0.38195657254285076</v>
      </c>
      <c r="I256">
        <v>-0.13539999999999999</v>
      </c>
      <c r="J256" s="1">
        <v>-215502</v>
      </c>
      <c r="K256" s="1">
        <v>17674</v>
      </c>
      <c r="L256" s="1">
        <v>11407</v>
      </c>
      <c r="M256" s="1">
        <v>15494</v>
      </c>
      <c r="N256">
        <f t="shared" si="9"/>
        <v>-1017618</v>
      </c>
      <c r="O256">
        <f t="shared" si="10"/>
        <v>-525716</v>
      </c>
      <c r="P256">
        <f t="shared" si="11"/>
        <v>-491902</v>
      </c>
    </row>
    <row r="257" spans="1:16" x14ac:dyDescent="0.35">
      <c r="A257" t="s">
        <v>24</v>
      </c>
      <c r="B257" t="s">
        <v>14</v>
      </c>
      <c r="C257">
        <v>631500</v>
      </c>
      <c r="D257">
        <v>604000</v>
      </c>
      <c r="E257">
        <v>2595347</v>
      </c>
      <c r="F257">
        <v>2657093</v>
      </c>
      <c r="G257" s="5">
        <f>+C257/E257</f>
        <v>0.24332006471581641</v>
      </c>
      <c r="H257" s="5">
        <f>+D257/F257</f>
        <v>0.22731609318906038</v>
      </c>
      <c r="I257">
        <v>1.6E-2</v>
      </c>
      <c r="J257" s="1">
        <v>34005</v>
      </c>
      <c r="K257">
        <v>0.95650000000000002</v>
      </c>
      <c r="L257" s="1">
        <v>10238</v>
      </c>
      <c r="M257">
        <v>0.93430000000000002</v>
      </c>
      <c r="N257">
        <f t="shared" si="9"/>
        <v>-4016940</v>
      </c>
      <c r="O257">
        <f t="shared" si="10"/>
        <v>-1963847</v>
      </c>
      <c r="P257">
        <f t="shared" si="11"/>
        <v>-2053093</v>
      </c>
    </row>
    <row r="258" spans="1:16" x14ac:dyDescent="0.35">
      <c r="A258" t="s">
        <v>25</v>
      </c>
      <c r="B258">
        <v>4554</v>
      </c>
      <c r="C258">
        <v>145500</v>
      </c>
      <c r="D258">
        <v>170500</v>
      </c>
      <c r="E258">
        <v>614208</v>
      </c>
      <c r="F258">
        <v>609043</v>
      </c>
      <c r="G258" s="5">
        <f>+C258/E258</f>
        <v>0.23689043451078462</v>
      </c>
      <c r="H258" s="5">
        <f>+D258/F258</f>
        <v>0.27994739287702181</v>
      </c>
      <c r="I258">
        <v>-4.3099999999999999E-2</v>
      </c>
      <c r="J258" s="1">
        <v>-83308</v>
      </c>
      <c r="K258" s="1">
        <v>11718</v>
      </c>
      <c r="L258">
        <v>0.99160000000000004</v>
      </c>
      <c r="M258" s="1">
        <v>11817</v>
      </c>
      <c r="N258">
        <f t="shared" si="9"/>
        <v>-907251</v>
      </c>
      <c r="O258">
        <f t="shared" si="10"/>
        <v>-468708</v>
      </c>
      <c r="P258">
        <f t="shared" si="11"/>
        <v>-438543</v>
      </c>
    </row>
    <row r="259" spans="1:16" x14ac:dyDescent="0.35">
      <c r="A259" t="s">
        <v>58</v>
      </c>
      <c r="B259">
        <v>4554</v>
      </c>
      <c r="C259">
        <v>635000</v>
      </c>
      <c r="D259">
        <v>869500</v>
      </c>
      <c r="E259">
        <v>2682194</v>
      </c>
      <c r="F259">
        <v>2667469</v>
      </c>
      <c r="G259" s="5">
        <f>+C259/E259</f>
        <v>0.23674648440791382</v>
      </c>
      <c r="H259" s="5">
        <f>+D259/F259</f>
        <v>0.32596442545349169</v>
      </c>
      <c r="I259">
        <v>-8.9200000000000002E-2</v>
      </c>
      <c r="J259" s="1">
        <v>-15855</v>
      </c>
      <c r="K259" s="1">
        <v>13693</v>
      </c>
      <c r="L259">
        <v>0.99450000000000005</v>
      </c>
      <c r="M259" s="1">
        <v>13769</v>
      </c>
      <c r="N259">
        <f t="shared" ref="N259:N286" si="12">+C259-E259+D259-F259</f>
        <v>-3845163</v>
      </c>
      <c r="O259">
        <f t="shared" ref="O259:O286" si="13">+C259-E259</f>
        <v>-2047194</v>
      </c>
      <c r="P259">
        <f t="shared" ref="P259:P286" si="14">+D259-F259</f>
        <v>-1797969</v>
      </c>
    </row>
    <row r="260" spans="1:16" x14ac:dyDescent="0.35">
      <c r="A260" t="s">
        <v>29</v>
      </c>
      <c r="B260">
        <v>3544</v>
      </c>
      <c r="C260">
        <v>85000</v>
      </c>
      <c r="D260">
        <v>105000</v>
      </c>
      <c r="E260">
        <v>359179</v>
      </c>
      <c r="F260">
        <v>349786</v>
      </c>
      <c r="G260" s="5">
        <f>+C260/E260</f>
        <v>0.23665080642242448</v>
      </c>
      <c r="H260" s="5">
        <f>+D260/F260</f>
        <v>0.30018354079351373</v>
      </c>
      <c r="I260">
        <v>-6.3500000000000001E-2</v>
      </c>
      <c r="J260" s="1">
        <v>-118347</v>
      </c>
      <c r="K260" s="1">
        <v>12353</v>
      </c>
      <c r="L260">
        <v>0.9738</v>
      </c>
      <c r="M260" s="1">
        <v>12685</v>
      </c>
      <c r="N260">
        <f t="shared" si="12"/>
        <v>-518965</v>
      </c>
      <c r="O260">
        <f t="shared" si="13"/>
        <v>-274179</v>
      </c>
      <c r="P260">
        <f t="shared" si="14"/>
        <v>-244786</v>
      </c>
    </row>
    <row r="261" spans="1:16" x14ac:dyDescent="0.35">
      <c r="A261" t="s">
        <v>52</v>
      </c>
      <c r="B261">
        <v>4554</v>
      </c>
      <c r="C261">
        <v>1975000</v>
      </c>
      <c r="D261">
        <v>965000</v>
      </c>
      <c r="E261">
        <v>8457920</v>
      </c>
      <c r="F261">
        <v>8354606</v>
      </c>
      <c r="G261" s="5">
        <f>+C261/E261</f>
        <v>0.23350894782641596</v>
      </c>
      <c r="H261" s="5">
        <f>+D261/F261</f>
        <v>0.11550514769936487</v>
      </c>
      <c r="I261">
        <v>0.11799999999999999</v>
      </c>
      <c r="J261" s="1">
        <v>338106</v>
      </c>
      <c r="K261">
        <v>0.48859999999999998</v>
      </c>
      <c r="L261">
        <v>0.98780000000000001</v>
      </c>
      <c r="M261">
        <v>0.49459999999999998</v>
      </c>
      <c r="N261">
        <f t="shared" si="12"/>
        <v>-13872526</v>
      </c>
      <c r="O261">
        <f t="shared" si="13"/>
        <v>-6482920</v>
      </c>
      <c r="P261">
        <f t="shared" si="14"/>
        <v>-7389606</v>
      </c>
    </row>
    <row r="262" spans="1:16" x14ac:dyDescent="0.35">
      <c r="A262" t="s">
        <v>54</v>
      </c>
      <c r="B262">
        <v>4554</v>
      </c>
      <c r="C262">
        <v>86500</v>
      </c>
      <c r="D262">
        <v>120500</v>
      </c>
      <c r="E262">
        <v>372116</v>
      </c>
      <c r="F262">
        <v>356609</v>
      </c>
      <c r="G262" s="5">
        <f>+C262/E262</f>
        <v>0.23245439594105063</v>
      </c>
      <c r="H262" s="5">
        <f>+D262/F262</f>
        <v>0.33790510054429362</v>
      </c>
      <c r="I262">
        <v>-0.1055</v>
      </c>
      <c r="J262" s="1">
        <v>-184885</v>
      </c>
      <c r="K262" s="1">
        <v>13931</v>
      </c>
      <c r="L262">
        <v>0.95830000000000004</v>
      </c>
      <c r="M262" s="1">
        <v>14537</v>
      </c>
      <c r="N262">
        <f t="shared" si="12"/>
        <v>-521725</v>
      </c>
      <c r="O262">
        <f t="shared" si="13"/>
        <v>-285616</v>
      </c>
      <c r="P262">
        <f t="shared" si="14"/>
        <v>-236109</v>
      </c>
    </row>
    <row r="263" spans="1:16" x14ac:dyDescent="0.35">
      <c r="A263" t="s">
        <v>58</v>
      </c>
      <c r="B263" t="s">
        <v>14</v>
      </c>
      <c r="C263">
        <v>463000</v>
      </c>
      <c r="D263">
        <v>734000</v>
      </c>
      <c r="E263">
        <v>2036308</v>
      </c>
      <c r="F263">
        <v>2178700</v>
      </c>
      <c r="G263" s="5">
        <f>+C263/E263</f>
        <v>0.22737228356417594</v>
      </c>
      <c r="H263" s="5">
        <f>+D263/F263</f>
        <v>0.33689815027309866</v>
      </c>
      <c r="I263">
        <v>-0.1095</v>
      </c>
      <c r="J263" s="1">
        <v>-194102</v>
      </c>
      <c r="K263" s="1">
        <v>15853</v>
      </c>
      <c r="L263" s="1">
        <v>10699</v>
      </c>
      <c r="M263" s="1">
        <v>14817</v>
      </c>
      <c r="N263">
        <f t="shared" si="12"/>
        <v>-3018008</v>
      </c>
      <c r="O263">
        <f t="shared" si="13"/>
        <v>-1573308</v>
      </c>
      <c r="P263">
        <f t="shared" si="14"/>
        <v>-1444700</v>
      </c>
    </row>
    <row r="264" spans="1:16" x14ac:dyDescent="0.35">
      <c r="A264" t="s">
        <v>65</v>
      </c>
      <c r="B264">
        <v>4554</v>
      </c>
      <c r="C264">
        <v>148500</v>
      </c>
      <c r="D264">
        <v>199500</v>
      </c>
      <c r="E264">
        <v>665306</v>
      </c>
      <c r="F264">
        <v>643691</v>
      </c>
      <c r="G264" s="5">
        <f>+C264/E264</f>
        <v>0.22320556255317103</v>
      </c>
      <c r="H264" s="5">
        <f>+D264/F264</f>
        <v>0.30993131797710394</v>
      </c>
      <c r="I264">
        <v>-8.6699999999999999E-2</v>
      </c>
      <c r="J264" s="1">
        <v>-162671</v>
      </c>
      <c r="K264" s="1">
        <v>13434</v>
      </c>
      <c r="L264">
        <v>0.96750000000000003</v>
      </c>
      <c r="M264" s="1">
        <v>13885</v>
      </c>
      <c r="N264">
        <f t="shared" si="12"/>
        <v>-960997</v>
      </c>
      <c r="O264">
        <f t="shared" si="13"/>
        <v>-516806</v>
      </c>
      <c r="P264">
        <f t="shared" si="14"/>
        <v>-444191</v>
      </c>
    </row>
    <row r="265" spans="1:16" x14ac:dyDescent="0.35">
      <c r="A265" t="s">
        <v>34</v>
      </c>
      <c r="B265">
        <v>4554</v>
      </c>
      <c r="C265">
        <v>76000</v>
      </c>
      <c r="D265">
        <v>107000</v>
      </c>
      <c r="E265">
        <v>342108</v>
      </c>
      <c r="F265">
        <v>327799</v>
      </c>
      <c r="G265" s="5">
        <f>+C265/E265</f>
        <v>0.22215206893729467</v>
      </c>
      <c r="H265" s="5">
        <f>+D265/F265</f>
        <v>0.32641954368378184</v>
      </c>
      <c r="I265">
        <v>-0.1043</v>
      </c>
      <c r="J265" s="1">
        <v>-190071</v>
      </c>
      <c r="K265" s="1">
        <v>14079</v>
      </c>
      <c r="L265">
        <v>0.95820000000000005</v>
      </c>
      <c r="M265" s="1">
        <v>14693</v>
      </c>
      <c r="N265">
        <f t="shared" si="12"/>
        <v>-486907</v>
      </c>
      <c r="O265">
        <f t="shared" si="13"/>
        <v>-266108</v>
      </c>
      <c r="P265">
        <f t="shared" si="14"/>
        <v>-220799</v>
      </c>
    </row>
    <row r="266" spans="1:16" x14ac:dyDescent="0.35">
      <c r="A266" t="s">
        <v>16</v>
      </c>
      <c r="B266">
        <v>4554</v>
      </c>
      <c r="C266">
        <v>131000</v>
      </c>
      <c r="D266">
        <v>154000</v>
      </c>
      <c r="E266">
        <v>596757</v>
      </c>
      <c r="F266">
        <v>601821</v>
      </c>
      <c r="G266" s="5">
        <f>+C266/E266</f>
        <v>0.21951983805803701</v>
      </c>
      <c r="H266" s="5">
        <f>+D266/F266</f>
        <v>0.25589004039407065</v>
      </c>
      <c r="I266">
        <v>-3.6400000000000002E-2</v>
      </c>
      <c r="J266" s="1">
        <v>-76503</v>
      </c>
      <c r="K266" s="1">
        <v>11756</v>
      </c>
      <c r="L266" s="1">
        <v>10085</v>
      </c>
      <c r="M266" s="1">
        <v>11657</v>
      </c>
      <c r="N266">
        <f t="shared" si="12"/>
        <v>-913578</v>
      </c>
      <c r="O266">
        <f t="shared" si="13"/>
        <v>-465757</v>
      </c>
      <c r="P266">
        <f t="shared" si="14"/>
        <v>-447821</v>
      </c>
    </row>
    <row r="267" spans="1:16" x14ac:dyDescent="0.35">
      <c r="A267" t="s">
        <v>53</v>
      </c>
      <c r="B267" t="s">
        <v>14</v>
      </c>
      <c r="C267">
        <v>261500</v>
      </c>
      <c r="D267">
        <v>365000</v>
      </c>
      <c r="E267">
        <v>1256118</v>
      </c>
      <c r="F267">
        <v>1261756</v>
      </c>
      <c r="G267" s="5">
        <f>+C267/E267</f>
        <v>0.20818107852924644</v>
      </c>
      <c r="H267" s="5">
        <f>+D267/F267</f>
        <v>0.28927938523771635</v>
      </c>
      <c r="I267">
        <v>-8.1100000000000005E-2</v>
      </c>
      <c r="J267" s="1">
        <v>-163025</v>
      </c>
      <c r="K267" s="1">
        <v>13958</v>
      </c>
      <c r="L267" s="1">
        <v>10045</v>
      </c>
      <c r="M267" s="1">
        <v>13895</v>
      </c>
      <c r="N267">
        <f t="shared" si="12"/>
        <v>-1891374</v>
      </c>
      <c r="O267">
        <f t="shared" si="13"/>
        <v>-994618</v>
      </c>
      <c r="P267">
        <f t="shared" si="14"/>
        <v>-896756</v>
      </c>
    </row>
    <row r="268" spans="1:16" x14ac:dyDescent="0.35">
      <c r="A268" t="s">
        <v>18</v>
      </c>
      <c r="B268" t="s">
        <v>14</v>
      </c>
      <c r="C268">
        <v>165000</v>
      </c>
      <c r="D268">
        <v>225000</v>
      </c>
      <c r="E268">
        <v>794204</v>
      </c>
      <c r="F268">
        <v>790224</v>
      </c>
      <c r="G268" s="5">
        <f>+C268/E268</f>
        <v>0.20775518632492407</v>
      </c>
      <c r="H268" s="5">
        <f>+D268/F268</f>
        <v>0.28472939318471724</v>
      </c>
      <c r="I268">
        <v>-7.6999999999999999E-2</v>
      </c>
      <c r="J268" s="1">
        <v>-156298</v>
      </c>
      <c r="K268" s="1">
        <v>13636</v>
      </c>
      <c r="L268">
        <v>0.995</v>
      </c>
      <c r="M268" s="1">
        <v>13705</v>
      </c>
      <c r="N268">
        <f t="shared" si="12"/>
        <v>-1194428</v>
      </c>
      <c r="O268">
        <f t="shared" si="13"/>
        <v>-629204</v>
      </c>
      <c r="P268">
        <f t="shared" si="14"/>
        <v>-565224</v>
      </c>
    </row>
    <row r="269" spans="1:16" x14ac:dyDescent="0.35">
      <c r="A269" t="s">
        <v>65</v>
      </c>
      <c r="B269" t="s">
        <v>14</v>
      </c>
      <c r="C269">
        <v>129500</v>
      </c>
      <c r="D269">
        <v>168000</v>
      </c>
      <c r="E269">
        <v>651369</v>
      </c>
      <c r="F269">
        <v>638940</v>
      </c>
      <c r="G269" s="5">
        <f>+C269/E269</f>
        <v>0.19881204048703577</v>
      </c>
      <c r="H269" s="5">
        <f>+D269/F269</f>
        <v>0.26293548690017843</v>
      </c>
      <c r="I269">
        <v>-6.4100000000000004E-2</v>
      </c>
      <c r="J269" s="1">
        <v>-138871</v>
      </c>
      <c r="K269" s="1">
        <v>12973</v>
      </c>
      <c r="L269">
        <v>0.98089999999999999</v>
      </c>
      <c r="M269" s="1">
        <v>13226</v>
      </c>
      <c r="N269">
        <f t="shared" si="12"/>
        <v>-992809</v>
      </c>
      <c r="O269">
        <f t="shared" si="13"/>
        <v>-521869</v>
      </c>
      <c r="P269">
        <f t="shared" si="14"/>
        <v>-470940</v>
      </c>
    </row>
    <row r="270" spans="1:16" x14ac:dyDescent="0.35">
      <c r="A270" t="s">
        <v>19</v>
      </c>
      <c r="B270" t="s">
        <v>14</v>
      </c>
      <c r="C270">
        <v>1179500</v>
      </c>
      <c r="D270">
        <v>613000</v>
      </c>
      <c r="E270">
        <v>6044164</v>
      </c>
      <c r="F270">
        <v>5893279</v>
      </c>
      <c r="G270" s="5">
        <f>+C270/E270</f>
        <v>0.195146921890273</v>
      </c>
      <c r="H270" s="5">
        <f>+D270/F270</f>
        <v>0.10401679608245257</v>
      </c>
      <c r="I270">
        <v>9.11E-2</v>
      </c>
      <c r="J270" s="1">
        <v>304616</v>
      </c>
      <c r="K270">
        <v>0.51970000000000005</v>
      </c>
      <c r="L270">
        <v>0.97499999999999998</v>
      </c>
      <c r="M270">
        <v>0.53300000000000003</v>
      </c>
      <c r="N270">
        <f t="shared" si="12"/>
        <v>-10144943</v>
      </c>
      <c r="O270">
        <f t="shared" si="13"/>
        <v>-4864664</v>
      </c>
      <c r="P270">
        <f t="shared" si="14"/>
        <v>-5280279</v>
      </c>
    </row>
    <row r="271" spans="1:16" x14ac:dyDescent="0.35">
      <c r="A271" t="s">
        <v>55</v>
      </c>
      <c r="B271">
        <v>4554</v>
      </c>
      <c r="C271">
        <v>72500</v>
      </c>
      <c r="D271">
        <v>38500</v>
      </c>
      <c r="E271">
        <v>377168</v>
      </c>
      <c r="F271">
        <v>191625</v>
      </c>
      <c r="G271" s="5">
        <f>+C271/E271</f>
        <v>0.19222203368260299</v>
      </c>
      <c r="H271" s="5">
        <f>+D271/F271</f>
        <v>0.20091324200913241</v>
      </c>
      <c r="I271">
        <v>-8.6999999999999994E-3</v>
      </c>
      <c r="J271" s="1">
        <v>-22107</v>
      </c>
      <c r="K271">
        <v>0.53100000000000003</v>
      </c>
      <c r="L271">
        <v>0.5081</v>
      </c>
      <c r="M271" s="1">
        <v>10451</v>
      </c>
      <c r="N271">
        <f t="shared" si="12"/>
        <v>-457793</v>
      </c>
      <c r="O271">
        <f t="shared" si="13"/>
        <v>-304668</v>
      </c>
      <c r="P271">
        <f t="shared" si="14"/>
        <v>-153125</v>
      </c>
    </row>
    <row r="272" spans="1:16" x14ac:dyDescent="0.35">
      <c r="A272" t="s">
        <v>34</v>
      </c>
      <c r="B272" t="s">
        <v>14</v>
      </c>
      <c r="C272">
        <v>65000</v>
      </c>
      <c r="D272">
        <v>88000</v>
      </c>
      <c r="E272">
        <v>354460</v>
      </c>
      <c r="F272">
        <v>358713</v>
      </c>
      <c r="G272" s="5">
        <f>+C272/E272</f>
        <v>0.18337753202053828</v>
      </c>
      <c r="H272" s="5">
        <f>+D272/F272</f>
        <v>0.24532146869502916</v>
      </c>
      <c r="I272">
        <v>-6.1899999999999997E-2</v>
      </c>
      <c r="J272" s="1">
        <v>-144493</v>
      </c>
      <c r="K272" s="1">
        <v>13538</v>
      </c>
      <c r="L272" s="1">
        <v>1012</v>
      </c>
      <c r="M272" s="1">
        <v>13377</v>
      </c>
      <c r="N272">
        <f t="shared" si="12"/>
        <v>-560173</v>
      </c>
      <c r="O272">
        <f t="shared" si="13"/>
        <v>-289460</v>
      </c>
      <c r="P272">
        <f t="shared" si="14"/>
        <v>-270713</v>
      </c>
    </row>
    <row r="273" spans="1:16" x14ac:dyDescent="0.35">
      <c r="A273" t="s">
        <v>56</v>
      </c>
      <c r="B273">
        <v>4554</v>
      </c>
      <c r="C273">
        <v>1775000</v>
      </c>
      <c r="D273">
        <v>764000</v>
      </c>
      <c r="E273">
        <v>9730731</v>
      </c>
      <c r="F273">
        <v>9690455</v>
      </c>
      <c r="G273" s="5">
        <f>+C273/E273</f>
        <v>0.18241178386289786</v>
      </c>
      <c r="H273" s="5">
        <f>+D273/F273</f>
        <v>7.8840467243282183E-2</v>
      </c>
      <c r="I273">
        <v>0.1036</v>
      </c>
      <c r="J273" s="1">
        <v>396442</v>
      </c>
      <c r="K273">
        <v>0.4304</v>
      </c>
      <c r="L273">
        <v>0.99590000000000001</v>
      </c>
      <c r="M273">
        <v>0.43219999999999997</v>
      </c>
      <c r="N273">
        <f t="shared" si="12"/>
        <v>-16882186</v>
      </c>
      <c r="O273">
        <f t="shared" si="13"/>
        <v>-7955731</v>
      </c>
      <c r="P273">
        <f t="shared" si="14"/>
        <v>-8926455</v>
      </c>
    </row>
    <row r="274" spans="1:16" x14ac:dyDescent="0.35">
      <c r="A274" t="s">
        <v>28</v>
      </c>
      <c r="B274" t="s">
        <v>14</v>
      </c>
      <c r="C274">
        <v>1177500</v>
      </c>
      <c r="D274">
        <v>1592500</v>
      </c>
      <c r="E274">
        <v>6503530</v>
      </c>
      <c r="F274">
        <v>6562654</v>
      </c>
      <c r="G274" s="5">
        <f>+C274/E274</f>
        <v>0.18105551907963829</v>
      </c>
      <c r="H274" s="5">
        <f>+D274/F274</f>
        <v>0.24266097222251851</v>
      </c>
      <c r="I274">
        <v>-6.1600000000000002E-2</v>
      </c>
      <c r="J274" s="1">
        <v>-145393</v>
      </c>
      <c r="K274" s="1">
        <v>13524</v>
      </c>
      <c r="L274" s="1">
        <v>10091</v>
      </c>
      <c r="M274" s="1">
        <v>13402</v>
      </c>
      <c r="N274">
        <f t="shared" si="12"/>
        <v>-10296184</v>
      </c>
      <c r="O274">
        <f t="shared" si="13"/>
        <v>-5326030</v>
      </c>
      <c r="P274">
        <f t="shared" si="14"/>
        <v>-4970154</v>
      </c>
    </row>
    <row r="275" spans="1:16" x14ac:dyDescent="0.35">
      <c r="A275" t="s">
        <v>25</v>
      </c>
      <c r="B275" t="s">
        <v>14</v>
      </c>
      <c r="C275">
        <v>117000</v>
      </c>
      <c r="D275">
        <v>143500</v>
      </c>
      <c r="E275">
        <v>648075</v>
      </c>
      <c r="F275">
        <v>644538</v>
      </c>
      <c r="G275" s="5">
        <f>+C275/E275</f>
        <v>0.18053466034023841</v>
      </c>
      <c r="H275" s="5">
        <f>+D275/F275</f>
        <v>0.22264009259345455</v>
      </c>
      <c r="I275">
        <v>-4.2099999999999999E-2</v>
      </c>
      <c r="J275" s="1">
        <v>-104435</v>
      </c>
      <c r="K275" s="1">
        <v>12265</v>
      </c>
      <c r="L275">
        <v>0.99450000000000005</v>
      </c>
      <c r="M275" s="1">
        <v>12333</v>
      </c>
      <c r="N275">
        <f t="shared" si="12"/>
        <v>-1032113</v>
      </c>
      <c r="O275">
        <f t="shared" si="13"/>
        <v>-531075</v>
      </c>
      <c r="P275">
        <f t="shared" si="14"/>
        <v>-501038</v>
      </c>
    </row>
    <row r="276" spans="1:16" x14ac:dyDescent="0.35">
      <c r="A276" t="s">
        <v>54</v>
      </c>
      <c r="B276" t="s">
        <v>14</v>
      </c>
      <c r="C276">
        <v>63000</v>
      </c>
      <c r="D276">
        <v>80500</v>
      </c>
      <c r="E276">
        <v>356753</v>
      </c>
      <c r="F276">
        <v>344628</v>
      </c>
      <c r="G276" s="5">
        <f>+C276/E276</f>
        <v>0.1765927686662761</v>
      </c>
      <c r="H276" s="5">
        <f>+D276/F276</f>
        <v>0.23358519911324674</v>
      </c>
      <c r="I276">
        <v>-5.7000000000000002E-2</v>
      </c>
      <c r="J276" s="1">
        <v>-138946</v>
      </c>
      <c r="K276" s="1">
        <v>12778</v>
      </c>
      <c r="L276">
        <v>0.96599999999999997</v>
      </c>
      <c r="M276" s="1">
        <v>13228</v>
      </c>
      <c r="N276">
        <f t="shared" si="12"/>
        <v>-557881</v>
      </c>
      <c r="O276">
        <f t="shared" si="13"/>
        <v>-293753</v>
      </c>
      <c r="P276">
        <f t="shared" si="14"/>
        <v>-264128</v>
      </c>
    </row>
    <row r="277" spans="1:16" x14ac:dyDescent="0.35">
      <c r="A277" t="s">
        <v>27</v>
      </c>
      <c r="B277">
        <v>3544</v>
      </c>
      <c r="C277">
        <v>126000</v>
      </c>
      <c r="D277">
        <v>160500</v>
      </c>
      <c r="E277">
        <v>748684</v>
      </c>
      <c r="F277">
        <v>699395</v>
      </c>
      <c r="G277" s="5">
        <f>+C277/E277</f>
        <v>0.16829530215685123</v>
      </c>
      <c r="H277" s="5">
        <f>+D277/F277</f>
        <v>0.22948405407530795</v>
      </c>
      <c r="I277">
        <v>-6.1199999999999997E-2</v>
      </c>
      <c r="J277" s="1">
        <v>-153826</v>
      </c>
      <c r="K277" s="1">
        <v>12738</v>
      </c>
      <c r="L277">
        <v>0.93420000000000003</v>
      </c>
      <c r="M277" s="1">
        <v>13635</v>
      </c>
      <c r="N277">
        <f t="shared" si="12"/>
        <v>-1161579</v>
      </c>
      <c r="O277">
        <f t="shared" si="13"/>
        <v>-622684</v>
      </c>
      <c r="P277">
        <f t="shared" si="14"/>
        <v>-538895</v>
      </c>
    </row>
    <row r="278" spans="1:16" x14ac:dyDescent="0.35">
      <c r="A278" t="s">
        <v>59</v>
      </c>
      <c r="B278">
        <v>4554</v>
      </c>
      <c r="C278">
        <v>33000</v>
      </c>
      <c r="D278">
        <v>29500</v>
      </c>
      <c r="E278">
        <v>196873</v>
      </c>
      <c r="F278">
        <v>221218</v>
      </c>
      <c r="G278" s="5">
        <f>+C278/E278</f>
        <v>0.16762075043302027</v>
      </c>
      <c r="H278" s="5">
        <f>+D278/F278</f>
        <v>0.13335262049200336</v>
      </c>
      <c r="I278">
        <v>3.4299999999999997E-2</v>
      </c>
      <c r="J278" s="1">
        <v>113858</v>
      </c>
      <c r="K278">
        <v>0.89390000000000003</v>
      </c>
      <c r="L278" s="1">
        <v>11237</v>
      </c>
      <c r="M278">
        <v>0.79549999999999998</v>
      </c>
      <c r="N278">
        <f t="shared" si="12"/>
        <v>-355591</v>
      </c>
      <c r="O278">
        <f t="shared" si="13"/>
        <v>-163873</v>
      </c>
      <c r="P278">
        <f t="shared" si="14"/>
        <v>-191718</v>
      </c>
    </row>
    <row r="279" spans="1:16" x14ac:dyDescent="0.35">
      <c r="A279" t="s">
        <v>29</v>
      </c>
      <c r="B279">
        <v>4554</v>
      </c>
      <c r="C279">
        <v>56000</v>
      </c>
      <c r="D279">
        <v>75000</v>
      </c>
      <c r="E279">
        <v>378753</v>
      </c>
      <c r="F279">
        <v>380507</v>
      </c>
      <c r="G279" s="5">
        <f>+C279/E279</f>
        <v>0.14785361436081035</v>
      </c>
      <c r="H279" s="5">
        <f>+D279/F279</f>
        <v>0.19710544089859056</v>
      </c>
      <c r="I279">
        <v>-4.9299999999999997E-2</v>
      </c>
      <c r="J279" s="1">
        <v>-142776</v>
      </c>
      <c r="K279" s="1">
        <v>13393</v>
      </c>
      <c r="L279" s="1">
        <v>10046</v>
      </c>
      <c r="M279" s="1">
        <v>13332</v>
      </c>
      <c r="N279">
        <f t="shared" si="12"/>
        <v>-628260</v>
      </c>
      <c r="O279">
        <f t="shared" si="13"/>
        <v>-322753</v>
      </c>
      <c r="P279">
        <f t="shared" si="14"/>
        <v>-305507</v>
      </c>
    </row>
    <row r="280" spans="1:16" x14ac:dyDescent="0.35">
      <c r="A280" t="s">
        <v>16</v>
      </c>
      <c r="B280" t="s">
        <v>14</v>
      </c>
      <c r="C280">
        <v>100500</v>
      </c>
      <c r="D280">
        <v>123500</v>
      </c>
      <c r="E280">
        <v>690794</v>
      </c>
      <c r="F280">
        <v>700465</v>
      </c>
      <c r="G280" s="5">
        <f>+C280/E280</f>
        <v>0.14548476101413735</v>
      </c>
      <c r="H280" s="5">
        <f>+D280/F280</f>
        <v>0.17631145025090475</v>
      </c>
      <c r="I280">
        <v>-3.0800000000000001E-2</v>
      </c>
      <c r="J280" s="1">
        <v>-95796</v>
      </c>
      <c r="K280" s="1">
        <v>12289</v>
      </c>
      <c r="L280" s="1">
        <v>1014</v>
      </c>
      <c r="M280" s="1">
        <v>12119</v>
      </c>
      <c r="N280">
        <f t="shared" si="12"/>
        <v>-1167259</v>
      </c>
      <c r="O280">
        <f t="shared" si="13"/>
        <v>-590294</v>
      </c>
      <c r="P280">
        <f t="shared" si="14"/>
        <v>-576965</v>
      </c>
    </row>
    <row r="281" spans="1:16" x14ac:dyDescent="0.35">
      <c r="A281" t="s">
        <v>49</v>
      </c>
      <c r="B281">
        <v>4554</v>
      </c>
      <c r="C281">
        <v>181500</v>
      </c>
      <c r="D281">
        <v>113500</v>
      </c>
      <c r="E281">
        <v>1336886</v>
      </c>
      <c r="F281">
        <v>1443168</v>
      </c>
      <c r="G281" s="5">
        <f>+C281/E281</f>
        <v>0.13576325879693557</v>
      </c>
      <c r="H281" s="5">
        <f>+D281/F281</f>
        <v>7.864642231535067E-2</v>
      </c>
      <c r="I281">
        <v>5.7099999999999998E-2</v>
      </c>
      <c r="J281" s="1">
        <v>266391</v>
      </c>
      <c r="K281">
        <v>0.62529999999999997</v>
      </c>
      <c r="L281" s="1">
        <v>10795</v>
      </c>
      <c r="M281">
        <v>0.57920000000000005</v>
      </c>
      <c r="N281">
        <f t="shared" si="12"/>
        <v>-2485054</v>
      </c>
      <c r="O281">
        <f t="shared" si="13"/>
        <v>-1155386</v>
      </c>
      <c r="P281">
        <f t="shared" si="14"/>
        <v>-1329668</v>
      </c>
    </row>
    <row r="282" spans="1:16" x14ac:dyDescent="0.35">
      <c r="A282" t="s">
        <v>29</v>
      </c>
      <c r="B282" t="s">
        <v>14</v>
      </c>
      <c r="C282">
        <v>41500</v>
      </c>
      <c r="D282">
        <v>54000</v>
      </c>
      <c r="E282">
        <v>394472</v>
      </c>
      <c r="F282">
        <v>395944</v>
      </c>
      <c r="G282" s="5">
        <f>+C282/E282</f>
        <v>0.10520391814881665</v>
      </c>
      <c r="H282" s="5">
        <f>+D282/F282</f>
        <v>0.136382922837573</v>
      </c>
      <c r="I282">
        <v>-3.1199999999999999E-2</v>
      </c>
      <c r="J282" s="1">
        <v>-129059</v>
      </c>
      <c r="K282" s="1">
        <v>13012</v>
      </c>
      <c r="L282" s="1">
        <v>10037</v>
      </c>
      <c r="M282" s="1">
        <v>12964</v>
      </c>
      <c r="N282">
        <f t="shared" si="12"/>
        <v>-694916</v>
      </c>
      <c r="O282">
        <f t="shared" si="13"/>
        <v>-352972</v>
      </c>
      <c r="P282">
        <f t="shared" si="14"/>
        <v>-341944</v>
      </c>
    </row>
    <row r="283" spans="1:16" x14ac:dyDescent="0.35">
      <c r="A283" t="s">
        <v>19</v>
      </c>
      <c r="B283">
        <v>4554</v>
      </c>
      <c r="C283">
        <v>883000</v>
      </c>
      <c r="D283">
        <v>418000</v>
      </c>
      <c r="E283">
        <v>8529794</v>
      </c>
      <c r="F283">
        <v>8545076</v>
      </c>
      <c r="G283" s="5">
        <f>+C283/E283</f>
        <v>0.10351949882963175</v>
      </c>
      <c r="H283" s="5">
        <f>+D283/F283</f>
        <v>4.8917060538724293E-2</v>
      </c>
      <c r="I283">
        <v>5.4600000000000003E-2</v>
      </c>
      <c r="J283" s="1">
        <v>358198</v>
      </c>
      <c r="K283">
        <v>0.47339999999999999</v>
      </c>
      <c r="L283" s="1">
        <v>10018</v>
      </c>
      <c r="M283">
        <v>0.47249999999999998</v>
      </c>
      <c r="N283">
        <f t="shared" si="12"/>
        <v>-15773870</v>
      </c>
      <c r="O283">
        <f t="shared" si="13"/>
        <v>-7646794</v>
      </c>
      <c r="P283">
        <f t="shared" si="14"/>
        <v>-8127076</v>
      </c>
    </row>
    <row r="284" spans="1:16" x14ac:dyDescent="0.35">
      <c r="A284" t="s">
        <v>27</v>
      </c>
      <c r="B284" t="s">
        <v>14</v>
      </c>
      <c r="C284">
        <v>66500</v>
      </c>
      <c r="D284">
        <v>92000</v>
      </c>
      <c r="E284">
        <v>649612</v>
      </c>
      <c r="F284">
        <v>648746</v>
      </c>
      <c r="G284" s="5">
        <f>+C284/E284</f>
        <v>0.10236879860593709</v>
      </c>
      <c r="H284" s="5">
        <f>+D284/F284</f>
        <v>0.14181204970820629</v>
      </c>
      <c r="I284">
        <v>-3.9399999999999998E-2</v>
      </c>
      <c r="J284" s="1">
        <v>-161533</v>
      </c>
      <c r="K284" s="1">
        <v>13835</v>
      </c>
      <c r="L284">
        <v>0.99870000000000003</v>
      </c>
      <c r="M284" s="1">
        <v>13853</v>
      </c>
      <c r="N284">
        <f t="shared" si="12"/>
        <v>-1139858</v>
      </c>
      <c r="O284">
        <f t="shared" si="13"/>
        <v>-583112</v>
      </c>
      <c r="P284">
        <f t="shared" si="14"/>
        <v>-556746</v>
      </c>
    </row>
    <row r="285" spans="1:16" x14ac:dyDescent="0.35">
      <c r="A285" t="s">
        <v>27</v>
      </c>
      <c r="B285">
        <v>4554</v>
      </c>
      <c r="C285">
        <v>89500</v>
      </c>
      <c r="D285">
        <v>118000</v>
      </c>
      <c r="E285">
        <v>886819</v>
      </c>
      <c r="F285">
        <v>841210</v>
      </c>
      <c r="G285" s="5">
        <f>+C285/E285</f>
        <v>0.10092251068143555</v>
      </c>
      <c r="H285" s="5">
        <f>+D285/F285</f>
        <v>0.14027412893332225</v>
      </c>
      <c r="I285">
        <v>-3.9399999999999998E-2</v>
      </c>
      <c r="J285" s="1">
        <v>-163152</v>
      </c>
      <c r="K285" s="1">
        <v>13184</v>
      </c>
      <c r="L285">
        <v>0.9486</v>
      </c>
      <c r="M285" s="1">
        <v>13898</v>
      </c>
      <c r="N285">
        <f t="shared" si="12"/>
        <v>-1520529</v>
      </c>
      <c r="O285">
        <f t="shared" si="13"/>
        <v>-797319</v>
      </c>
      <c r="P285">
        <f t="shared" si="14"/>
        <v>-723210</v>
      </c>
    </row>
    <row r="286" spans="1:16" x14ac:dyDescent="0.35">
      <c r="A286" t="s">
        <v>49</v>
      </c>
      <c r="B286" t="s">
        <v>14</v>
      </c>
      <c r="C286">
        <v>104000</v>
      </c>
      <c r="D286">
        <v>77000</v>
      </c>
      <c r="E286">
        <v>1101829</v>
      </c>
      <c r="F286">
        <v>1260487</v>
      </c>
      <c r="G286" s="5">
        <f>+C286/E286</f>
        <v>9.4388512192000756E-2</v>
      </c>
      <c r="H286" s="5">
        <f>+D286/F286</f>
        <v>6.1087500307420863E-2</v>
      </c>
      <c r="I286">
        <v>3.3300000000000003E-2</v>
      </c>
      <c r="J286" s="1">
        <v>214187</v>
      </c>
      <c r="K286">
        <v>0.74039999999999995</v>
      </c>
      <c r="L286" s="1">
        <v>1144</v>
      </c>
      <c r="M286">
        <v>0.6472</v>
      </c>
      <c r="N286">
        <f t="shared" si="12"/>
        <v>-2181316</v>
      </c>
      <c r="O286">
        <f t="shared" si="13"/>
        <v>-997829</v>
      </c>
      <c r="P286">
        <f t="shared" si="14"/>
        <v>-1183487</v>
      </c>
    </row>
  </sheetData>
  <autoFilter ref="A1:P286" xr:uid="{970873BE-CE40-43A7-8717-AD189318FBD2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summary_calc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Schwed</dc:creator>
  <cp:lastModifiedBy>Hannah Schwed</cp:lastModifiedBy>
  <dcterms:created xsi:type="dcterms:W3CDTF">2025-06-27T17:35:48Z</dcterms:created>
  <dcterms:modified xsi:type="dcterms:W3CDTF">2025-06-27T19:56:57Z</dcterms:modified>
</cp:coreProperties>
</file>